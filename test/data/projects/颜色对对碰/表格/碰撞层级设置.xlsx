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activeTab="1"/>
  </bookViews>
  <sheets>
    <sheet name="mg_200_object_layer" sheetId="1" r:id="rId1"/>
    <sheet name="!数据编辑" sheetId="2" r:id="rId2"/>
    <sheet name="!副表"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<sst xmlns="http://schemas.openxmlformats.org/spreadsheetml/2006/main" count="160" uniqueCount="25">
  <si>
    <t>id</t>
  </si>
  <si>
    <t>long</t>
  </si>
  <si>
    <t>层类型</t>
  </si>
  <si>
    <t>string</t>
  </si>
  <si>
    <t>有碰撞场景</t>
  </si>
  <si>
    <t>蓝队基地</t>
  </si>
  <si>
    <t>红队基地</t>
  </si>
  <si>
    <t>蓝队普通</t>
  </si>
  <si>
    <t>红队普通</t>
  </si>
  <si>
    <t>蓝队高级</t>
  </si>
  <si>
    <t>红队高级</t>
  </si>
  <si>
    <t>蓝队护盾</t>
  </si>
  <si>
    <t>红队护盾</t>
  </si>
  <si>
    <t>蓝队格子</t>
  </si>
  <si>
    <t>红队格子</t>
  </si>
  <si>
    <t>中立格子</t>
  </si>
  <si>
    <t>蓝色小型</t>
  </si>
  <si>
    <t>红色小型</t>
  </si>
  <si>
    <t>bool</t>
  </si>
  <si>
    <t>假</t>
  </si>
  <si>
    <t>真</t>
  </si>
  <si>
    <t>float</t>
  </si>
  <si>
    <t>空</t>
  </si>
  <si>
    <t>vector</t>
  </si>
  <si>
    <t>color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</si>
</sst>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color theme="1"/>
      <name val="微软雅黑"/>
      <charset val="134"/>
    </font>
    <font>
      <sz val="12"/>
      <color theme="0" tint="-0.249977111117893"/>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1" xfId="0" applyFont="1" applyFill="1" applyBorder="1" applyAlignment="1">
      <alignment horizontal="center" vertical="center"/>
    </xf>
    <xf numFmtId="0" fontId="2"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b val="1"/>
        <i val="0"/>
      </font>
      <fill>
        <patternFill patternType="solid">
          <bgColor theme="5" tint="0.599963377788629"/>
        </patternFill>
      </fill>
    </dxf>
    <dxf>
      <font>
        <b val="1"/>
        <i val="0"/>
      </font>
      <fill>
        <patternFill patternType="solid">
          <bgColor theme="8" tint="0.399945066682943"/>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8"/>
  <sheetViews>
    <sheetView workbookViewId="0">
      <selection activeCell="B14" sqref="B14"/>
    </sheetView>
  </sheetViews>
  <sheetFormatPr defaultColWidth="9" defaultRowHeight="17.4"/>
  <cols>
    <col min="1" max="1" width="9.62962962962963" style="3" customWidth="1"/>
    <col min="2" max="2" width="17.6296296296296" style="3" customWidth="1"/>
    <col min="3" max="11" width="9.62962962962963" style="3" customWidth="1"/>
    <col min="12" max="16384" width="9" style="3"/>
  </cols>
  <sheetData>
    <row r="1" spans="1:16">
      <c r="A1" s="3" t="str">
        <f ca="1">A2</f>
        <v>id</v>
      </c>
      <c r="B1" s="3" t="str">
        <f ca="1" t="shared" ref="B1:M1" si="0">B2</f>
        <v>层类型</v>
      </c>
      <c r="C1" s="3">
        <f ca="1" t="shared" si="0"/>
        <v>0</v>
      </c>
      <c r="D1" s="3">
        <f ca="1" t="shared" si="0"/>
        <v>1</v>
      </c>
      <c r="E1" s="3">
        <f ca="1" t="shared" si="0"/>
        <v>2</v>
      </c>
      <c r="F1" s="3">
        <f ca="1" t="shared" si="0"/>
        <v>3</v>
      </c>
      <c r="G1" s="3">
        <f ca="1" t="shared" si="0"/>
        <v>4</v>
      </c>
      <c r="H1" s="3">
        <f ca="1" t="shared" si="0"/>
        <v>5</v>
      </c>
      <c r="I1" s="3">
        <f ca="1" t="shared" si="0"/>
        <v>6</v>
      </c>
      <c r="J1" s="3">
        <f ca="1" t="shared" si="0"/>
        <v>7</v>
      </c>
      <c r="K1" s="3">
        <f ca="1" t="shared" si="0"/>
        <v>8</v>
      </c>
      <c r="L1" s="3">
        <f ca="1" t="shared" si="0"/>
        <v>9</v>
      </c>
      <c r="M1" s="3">
        <f ca="1" t="shared" si="0"/>
        <v>10</v>
      </c>
      <c r="N1" s="3">
        <v>11</v>
      </c>
      <c r="O1" s="3">
        <v>12</v>
      </c>
      <c r="P1" s="3">
        <v>13</v>
      </c>
    </row>
    <row r="2" spans="1:16">
      <c r="A2" s="3" t="str">
        <f ca="1">OFFSET('!数据编辑'!$A$1,COLUMN(A2)-1,ROW(A2)-2)</f>
        <v>id</v>
      </c>
      <c r="B2" s="3" t="str">
        <f ca="1">OFFSET('!数据编辑'!$A$1,COLUMN(B2)-1,ROW(B2)-2)</f>
        <v>层类型</v>
      </c>
      <c r="C2" s="3">
        <f ca="1">OFFSET('!数据编辑'!$A$1,COLUMN(C2)-1,ROW(C2)-2)</f>
        <v>0</v>
      </c>
      <c r="D2" s="3">
        <f ca="1">OFFSET('!数据编辑'!$A$1,COLUMN(D2)-1,ROW(D2)-2)</f>
        <v>1</v>
      </c>
      <c r="E2" s="3">
        <f ca="1">OFFSET('!数据编辑'!$A$1,COLUMN(E2)-1,ROW(E2)-2)</f>
        <v>2</v>
      </c>
      <c r="F2" s="3">
        <f ca="1">OFFSET('!数据编辑'!$A$1,COLUMN(F2)-1,ROW(F2)-2)</f>
        <v>3</v>
      </c>
      <c r="G2" s="3">
        <f ca="1">OFFSET('!数据编辑'!$A$1,COLUMN(G2)-1,ROW(G2)-2)</f>
        <v>4</v>
      </c>
      <c r="H2" s="3">
        <f ca="1">OFFSET('!数据编辑'!$A$1,COLUMN(H2)-1,ROW(H2)-2)</f>
        <v>5</v>
      </c>
      <c r="I2" s="3">
        <f ca="1">OFFSET('!数据编辑'!$A$1,COLUMN(I2)-1,ROW(I2)-2)</f>
        <v>6</v>
      </c>
      <c r="J2" s="3">
        <f ca="1">OFFSET('!数据编辑'!$A$1,COLUMN(J2)-1,ROW(J2)-2)</f>
        <v>7</v>
      </c>
      <c r="K2" s="3">
        <f ca="1">OFFSET('!数据编辑'!$A$1,COLUMN(K2)-1,ROW(K2)-2)</f>
        <v>8</v>
      </c>
      <c r="L2" s="3">
        <f ca="1">OFFSET('!数据编辑'!$A$1,COLUMN(L2)-1,ROW(L2)-2)</f>
        <v>9</v>
      </c>
      <c r="M2" s="3">
        <f ca="1">OFFSET('!数据编辑'!$A$1,COLUMN(M2)-1,ROW(M2)-2)</f>
        <v>10</v>
      </c>
      <c r="N2" s="3">
        <v>11</v>
      </c>
      <c r="O2" s="3">
        <v>12</v>
      </c>
      <c r="P2" s="3">
        <v>13</v>
      </c>
    </row>
    <row r="3" spans="1:16">
      <c r="A3" s="3" t="str">
        <f ca="1">OFFSET('!数据编辑'!$A$1,COLUMN(A3)-1,ROW(A3)-2)</f>
        <v>long</v>
      </c>
      <c r="B3" s="3" t="str">
        <f ca="1">OFFSET('!数据编辑'!$A$1,COLUMN(B3)-1,ROW(B3)-2)</f>
        <v>string</v>
      </c>
      <c r="C3" s="3" t="str">
        <f ca="1">OFFSET('!数据编辑'!$A$1,COLUMN(C3)-1,ROW(C3)-2)</f>
        <v>bool</v>
      </c>
      <c r="D3" s="3" t="str">
        <f ca="1">OFFSET('!数据编辑'!$A$1,COLUMN(D3)-1,ROW(D3)-2)</f>
        <v>bool</v>
      </c>
      <c r="E3" s="3" t="str">
        <f ca="1">OFFSET('!数据编辑'!$A$1,COLUMN(E3)-1,ROW(E3)-2)</f>
        <v>bool</v>
      </c>
      <c r="F3" s="3" t="str">
        <f ca="1">OFFSET('!数据编辑'!$A$1,COLUMN(F3)-1,ROW(F3)-2)</f>
        <v>bool</v>
      </c>
      <c r="G3" s="3" t="str">
        <f ca="1">OFFSET('!数据编辑'!$A$1,COLUMN(G3)-1,ROW(G3)-2)</f>
        <v>bool</v>
      </c>
      <c r="H3" s="3" t="str">
        <f ca="1">OFFSET('!数据编辑'!$A$1,COLUMN(H3)-1,ROW(H3)-2)</f>
        <v>bool</v>
      </c>
      <c r="I3" s="3" t="str">
        <f ca="1">OFFSET('!数据编辑'!$A$1,COLUMN(I3)-1,ROW(I3)-2)</f>
        <v>bool</v>
      </c>
      <c r="J3" s="3" t="str">
        <f ca="1">OFFSET('!数据编辑'!$A$1,COLUMN(J3)-1,ROW(J3)-2)</f>
        <v>bool</v>
      </c>
      <c r="K3" s="3" t="str">
        <f ca="1">OFFSET('!数据编辑'!$A$1,COLUMN(K3)-1,ROW(K3)-2)</f>
        <v>bool</v>
      </c>
      <c r="L3" s="3" t="str">
        <f ca="1">OFFSET('!数据编辑'!$A$1,COLUMN(L3)-1,ROW(L3)-2)</f>
        <v>bool</v>
      </c>
      <c r="M3" s="3" t="str">
        <f ca="1">OFFSET('!数据编辑'!$A$1,COLUMN(M3)-1,ROW(M3)-2)</f>
        <v>bool</v>
      </c>
      <c r="N3" s="3" t="str">
        <f ca="1">OFFSET('!数据编辑'!$A$1,COLUMN(N3)-1,ROW(N3)-2)</f>
        <v>bool</v>
      </c>
      <c r="O3" s="3" t="str">
        <f ca="1">OFFSET('!数据编辑'!$A$1,COLUMN(O3)-1,ROW(O3)-2)</f>
        <v>bool</v>
      </c>
      <c r="P3" s="3" t="str">
        <f ca="1">OFFSET('!数据编辑'!$A$1,COLUMN(P3)-1,ROW(P3)-2)</f>
        <v>bool</v>
      </c>
    </row>
    <row r="4" spans="1:17">
      <c r="A4" s="3">
        <f ca="1">OFFSET('!数据编辑'!$A$1,COLUMN(A4)-1,ROW(A4)-2)</f>
        <v>0</v>
      </c>
      <c r="B4" s="3" t="str">
        <f ca="1">OFFSET('!数据编辑'!$A$1,COLUMN(B4)-1,ROW(B4)-2)</f>
        <v>有碰撞场景</v>
      </c>
      <c r="C4" s="3">
        <f ca="1">OFFSET('!数据编辑'!$A$1,COLUMN(C4)-1,ROW(C4)-2)</f>
        <v>0</v>
      </c>
      <c r="D4" s="6" t="e">
        <f ca="1">OFFSET('!数据编辑'!$A$1,COLUMN(D4)-1,ROW(D4)-2)</f>
        <v>#N/A</v>
      </c>
      <c r="E4" s="6" t="e">
        <f ca="1">OFFSET('!数据编辑'!$A$1,COLUMN(E4)-1,ROW(E4)-2)</f>
        <v>#N/A</v>
      </c>
      <c r="F4" s="6" t="e">
        <f ca="1">OFFSET('!数据编辑'!$A$1,COLUMN(F4)-1,ROW(F4)-2)</f>
        <v>#N/A</v>
      </c>
      <c r="G4" s="6" t="e">
        <f ca="1">OFFSET('!数据编辑'!$A$1,COLUMN(G4)-1,ROW(G4)-2)</f>
        <v>#N/A</v>
      </c>
      <c r="H4" s="6" t="e">
        <f ca="1">OFFSET('!数据编辑'!$A$1,COLUMN(H4)-1,ROW(H4)-2)</f>
        <v>#N/A</v>
      </c>
      <c r="I4" s="6" t="e">
        <f ca="1">OFFSET('!数据编辑'!$A$1,COLUMN(I4)-1,ROW(I4)-2)</f>
        <v>#N/A</v>
      </c>
      <c r="J4" s="6" t="e">
        <f ca="1">OFFSET('!数据编辑'!$A$1,COLUMN(J4)-1,ROW(J4)-2)</f>
        <v>#N/A</v>
      </c>
      <c r="K4" s="6" t="e">
        <f ca="1">OFFSET('!数据编辑'!$A$1,COLUMN(K4)-1,ROW(K4)-2)</f>
        <v>#N/A</v>
      </c>
      <c r="L4" s="6" t="e">
        <f ca="1">OFFSET('!数据编辑'!$A$1,COLUMN(L4)-1,ROW(L4)-2)</f>
        <v>#N/A</v>
      </c>
      <c r="M4" s="6" t="e">
        <f ca="1">OFFSET('!数据编辑'!$A$1,COLUMN(M4)-1,ROW(M4)-2)</f>
        <v>#N/A</v>
      </c>
      <c r="N4" s="6" t="e">
        <f ca="1">OFFSET('!数据编辑'!$A$1,COLUMN(N4)-1,ROW(N4)-2)</f>
        <v>#N/A</v>
      </c>
      <c r="O4" s="6" t="e">
        <f ca="1">OFFSET('!数据编辑'!$A$1,COLUMN(O4)-1,ROW(O4)-2)</f>
        <v>#N/A</v>
      </c>
      <c r="P4" s="6" t="e">
        <f ca="1">OFFSET('!数据编辑'!$A$1,COLUMN(P4)-1,ROW(P4)-2)</f>
        <v>#N/A</v>
      </c>
      <c r="Q4" s="6"/>
    </row>
    <row r="5" spans="1:17">
      <c r="A5" s="3">
        <f ca="1">OFFSET('!数据编辑'!$A$1,COLUMN(A5)-1,ROW(A5)-2)</f>
        <v>1</v>
      </c>
      <c r="B5" s="3" t="str">
        <f ca="1">OFFSET('!数据编辑'!$A$1,COLUMN(B5)-1,ROW(B5)-2)</f>
        <v>蓝队基地</v>
      </c>
      <c r="C5" s="3">
        <f ca="1">OFFSET('!数据编辑'!$A$1,COLUMN(C5)-1,ROW(C5)-2)</f>
        <v>0</v>
      </c>
      <c r="D5" s="3">
        <f ca="1">OFFSET('!数据编辑'!$A$1,COLUMN(D5)-1,ROW(D5)-2)</f>
        <v>0</v>
      </c>
      <c r="E5" s="6" t="e">
        <f ca="1">OFFSET('!数据编辑'!$A$1,COLUMN(E5)-1,ROW(E5)-2)</f>
        <v>#N/A</v>
      </c>
      <c r="F5" s="6" t="e">
        <f ca="1">OFFSET('!数据编辑'!$A$1,COLUMN(F5)-1,ROW(F5)-2)</f>
        <v>#N/A</v>
      </c>
      <c r="G5" s="6" t="e">
        <f ca="1">OFFSET('!数据编辑'!$A$1,COLUMN(G5)-1,ROW(G5)-2)</f>
        <v>#N/A</v>
      </c>
      <c r="H5" s="6" t="e">
        <f ca="1">OFFSET('!数据编辑'!$A$1,COLUMN(H5)-1,ROW(H5)-2)</f>
        <v>#N/A</v>
      </c>
      <c r="I5" s="6" t="e">
        <f ca="1">OFFSET('!数据编辑'!$A$1,COLUMN(I5)-1,ROW(I5)-2)</f>
        <v>#N/A</v>
      </c>
      <c r="J5" s="6" t="e">
        <f ca="1">OFFSET('!数据编辑'!$A$1,COLUMN(J5)-1,ROW(J5)-2)</f>
        <v>#N/A</v>
      </c>
      <c r="K5" s="6" t="e">
        <f ca="1">OFFSET('!数据编辑'!$A$1,COLUMN(K5)-1,ROW(K5)-2)</f>
        <v>#N/A</v>
      </c>
      <c r="L5" s="6" t="e">
        <f ca="1">OFFSET('!数据编辑'!$A$1,COLUMN(L5)-1,ROW(L5)-2)</f>
        <v>#N/A</v>
      </c>
      <c r="M5" s="6" t="e">
        <f ca="1">OFFSET('!数据编辑'!$A$1,COLUMN(M5)-1,ROW(M5)-2)</f>
        <v>#N/A</v>
      </c>
      <c r="N5" s="6" t="e">
        <f ca="1">OFFSET('!数据编辑'!$A$1,COLUMN(N5)-1,ROW(N5)-2)</f>
        <v>#N/A</v>
      </c>
      <c r="O5" s="6" t="e">
        <f ca="1">OFFSET('!数据编辑'!$A$1,COLUMN(O5)-1,ROW(O5)-2)</f>
        <v>#N/A</v>
      </c>
      <c r="P5" s="6" t="e">
        <f ca="1">OFFSET('!数据编辑'!$A$1,COLUMN(P5)-1,ROW(P5)-2)</f>
        <v>#N/A</v>
      </c>
      <c r="Q5" s="6"/>
    </row>
    <row r="6" spans="1:17">
      <c r="A6" s="3">
        <f ca="1">OFFSET('!数据编辑'!$A$1,COLUMN(A6)-1,ROW(A6)-2)</f>
        <v>2</v>
      </c>
      <c r="B6" s="3" t="str">
        <f ca="1">OFFSET('!数据编辑'!$A$1,COLUMN(B6)-1,ROW(B6)-2)</f>
        <v>红队基地</v>
      </c>
      <c r="C6" s="3">
        <f ca="1">OFFSET('!数据编辑'!$A$1,COLUMN(C6)-1,ROW(C6)-2)</f>
        <v>0</v>
      </c>
      <c r="D6" s="3">
        <f ca="1">OFFSET('!数据编辑'!$A$1,COLUMN(D6)-1,ROW(D6)-2)</f>
        <v>0</v>
      </c>
      <c r="E6" s="3">
        <f ca="1">OFFSET('!数据编辑'!$A$1,COLUMN(E6)-1,ROW(E6)-2)</f>
        <v>0</v>
      </c>
      <c r="F6" s="6" t="e">
        <f ca="1">OFFSET('!数据编辑'!$A$1,COLUMN(F6)-1,ROW(F6)-2)</f>
        <v>#N/A</v>
      </c>
      <c r="G6" s="6" t="e">
        <f ca="1">OFFSET('!数据编辑'!$A$1,COLUMN(G6)-1,ROW(G6)-2)</f>
        <v>#N/A</v>
      </c>
      <c r="H6" s="6" t="e">
        <f ca="1">OFFSET('!数据编辑'!$A$1,COLUMN(H6)-1,ROW(H6)-2)</f>
        <v>#N/A</v>
      </c>
      <c r="I6" s="6" t="e">
        <f ca="1">OFFSET('!数据编辑'!$A$1,COLUMN(I6)-1,ROW(I6)-2)</f>
        <v>#N/A</v>
      </c>
      <c r="J6" s="6" t="e">
        <f ca="1">OFFSET('!数据编辑'!$A$1,COLUMN(J6)-1,ROW(J6)-2)</f>
        <v>#N/A</v>
      </c>
      <c r="K6" s="6" t="e">
        <f ca="1">OFFSET('!数据编辑'!$A$1,COLUMN(K6)-1,ROW(K6)-2)</f>
        <v>#N/A</v>
      </c>
      <c r="L6" s="6" t="e">
        <f ca="1">OFFSET('!数据编辑'!$A$1,COLUMN(L6)-1,ROW(L6)-2)</f>
        <v>#N/A</v>
      </c>
      <c r="M6" s="6" t="e">
        <f ca="1">OFFSET('!数据编辑'!$A$1,COLUMN(M6)-1,ROW(M6)-2)</f>
        <v>#N/A</v>
      </c>
      <c r="N6" s="6" t="e">
        <f ca="1">OFFSET('!数据编辑'!$A$1,COLUMN(N6)-1,ROW(N6)-2)</f>
        <v>#N/A</v>
      </c>
      <c r="O6" s="6" t="e">
        <f ca="1">OFFSET('!数据编辑'!$A$1,COLUMN(O6)-1,ROW(O6)-2)</f>
        <v>#N/A</v>
      </c>
      <c r="P6" s="6" t="e">
        <f ca="1">OFFSET('!数据编辑'!$A$1,COLUMN(P6)-1,ROW(P6)-2)</f>
        <v>#N/A</v>
      </c>
      <c r="Q6" s="6"/>
    </row>
    <row r="7" spans="1:17">
      <c r="A7" s="3">
        <f ca="1">OFFSET('!数据编辑'!$A$1,COLUMN(A7)-1,ROW(A7)-2)</f>
        <v>3</v>
      </c>
      <c r="B7" s="3" t="str">
        <f ca="1">OFFSET('!数据编辑'!$A$1,COLUMN(B7)-1,ROW(B7)-2)</f>
        <v>蓝队普通</v>
      </c>
      <c r="C7" s="3">
        <f ca="1">OFFSET('!数据编辑'!$A$1,COLUMN(C7)-1,ROW(C7)-2)</f>
        <v>1</v>
      </c>
      <c r="D7" s="3">
        <f ca="1">OFFSET('!数据编辑'!$A$1,COLUMN(D7)-1,ROW(D7)-2)</f>
        <v>0</v>
      </c>
      <c r="E7" s="3">
        <f ca="1">OFFSET('!数据编辑'!$A$1,COLUMN(E7)-1,ROW(E7)-2)</f>
        <v>1</v>
      </c>
      <c r="F7" s="3">
        <f ca="1">OFFSET('!数据编辑'!$A$1,COLUMN(F7)-1,ROW(F7)-2)</f>
        <v>0</v>
      </c>
      <c r="G7" s="6" t="e">
        <f ca="1">OFFSET('!数据编辑'!$A$1,COLUMN(G7)-1,ROW(G7)-2)</f>
        <v>#N/A</v>
      </c>
      <c r="H7" s="6" t="e">
        <f ca="1">OFFSET('!数据编辑'!$A$1,COLUMN(H7)-1,ROW(H7)-2)</f>
        <v>#N/A</v>
      </c>
      <c r="I7" s="6" t="e">
        <f ca="1">OFFSET('!数据编辑'!$A$1,COLUMN(I7)-1,ROW(I7)-2)</f>
        <v>#N/A</v>
      </c>
      <c r="J7" s="6" t="e">
        <f ca="1">OFFSET('!数据编辑'!$A$1,COLUMN(J7)-1,ROW(J7)-2)</f>
        <v>#N/A</v>
      </c>
      <c r="K7" s="6" t="e">
        <f ca="1">OFFSET('!数据编辑'!$A$1,COLUMN(K7)-1,ROW(K7)-2)</f>
        <v>#N/A</v>
      </c>
      <c r="L7" s="6" t="e">
        <f ca="1">OFFSET('!数据编辑'!$A$1,COLUMN(L7)-1,ROW(L7)-2)</f>
        <v>#N/A</v>
      </c>
      <c r="M7" s="6" t="e">
        <f ca="1">OFFSET('!数据编辑'!$A$1,COLUMN(M7)-1,ROW(M7)-2)</f>
        <v>#N/A</v>
      </c>
      <c r="N7" s="6" t="e">
        <f ca="1">OFFSET('!数据编辑'!$A$1,COLUMN(N7)-1,ROW(N7)-2)</f>
        <v>#N/A</v>
      </c>
      <c r="O7" s="6" t="e">
        <f ca="1">OFFSET('!数据编辑'!$A$1,COLUMN(O7)-1,ROW(O7)-2)</f>
        <v>#N/A</v>
      </c>
      <c r="P7" s="6" t="e">
        <f ca="1">OFFSET('!数据编辑'!$A$1,COLUMN(P7)-1,ROW(P7)-2)</f>
        <v>#N/A</v>
      </c>
      <c r="Q7" s="6"/>
    </row>
    <row r="8" spans="1:17">
      <c r="A8" s="3">
        <f ca="1">OFFSET('!数据编辑'!$A$1,COLUMN(A8)-1,ROW(A8)-2)</f>
        <v>4</v>
      </c>
      <c r="B8" s="3" t="str">
        <f ca="1">OFFSET('!数据编辑'!$A$1,COLUMN(B8)-1,ROW(B8)-2)</f>
        <v>红队普通</v>
      </c>
      <c r="C8" s="3">
        <f ca="1">OFFSET('!数据编辑'!$A$1,COLUMN(C8)-1,ROW(C8)-2)</f>
        <v>1</v>
      </c>
      <c r="D8" s="3">
        <f ca="1">OFFSET('!数据编辑'!$A$1,COLUMN(D8)-1,ROW(D8)-2)</f>
        <v>1</v>
      </c>
      <c r="E8" s="3">
        <f ca="1">OFFSET('!数据编辑'!$A$1,COLUMN(E8)-1,ROW(E8)-2)</f>
        <v>0</v>
      </c>
      <c r="F8" s="3">
        <f ca="1">OFFSET('!数据编辑'!$A$1,COLUMN(F8)-1,ROW(F8)-2)</f>
        <v>1</v>
      </c>
      <c r="G8" s="3">
        <f ca="1">OFFSET('!数据编辑'!$A$1,COLUMN(G8)-1,ROW(G8)-2)</f>
        <v>0</v>
      </c>
      <c r="H8" s="6" t="e">
        <f ca="1">OFFSET('!数据编辑'!$A$1,COLUMN(H8)-1,ROW(H8)-2)</f>
        <v>#N/A</v>
      </c>
      <c r="I8" s="6" t="e">
        <f ca="1">OFFSET('!数据编辑'!$A$1,COLUMN(I8)-1,ROW(I8)-2)</f>
        <v>#N/A</v>
      </c>
      <c r="J8" s="6" t="e">
        <f ca="1">OFFSET('!数据编辑'!$A$1,COLUMN(J8)-1,ROW(J8)-2)</f>
        <v>#N/A</v>
      </c>
      <c r="K8" s="6" t="e">
        <f ca="1">OFFSET('!数据编辑'!$A$1,COLUMN(K8)-1,ROW(K8)-2)</f>
        <v>#N/A</v>
      </c>
      <c r="L8" s="6" t="e">
        <f ca="1">OFFSET('!数据编辑'!$A$1,COLUMN(L8)-1,ROW(L8)-2)</f>
        <v>#N/A</v>
      </c>
      <c r="M8" s="6" t="e">
        <f ca="1">OFFSET('!数据编辑'!$A$1,COLUMN(M8)-1,ROW(M8)-2)</f>
        <v>#N/A</v>
      </c>
      <c r="N8" s="6" t="e">
        <f ca="1">OFFSET('!数据编辑'!$A$1,COLUMN(N8)-1,ROW(N8)-2)</f>
        <v>#N/A</v>
      </c>
      <c r="O8" s="6" t="e">
        <f ca="1">OFFSET('!数据编辑'!$A$1,COLUMN(O8)-1,ROW(O8)-2)</f>
        <v>#N/A</v>
      </c>
      <c r="P8" s="6" t="e">
        <f ca="1">OFFSET('!数据编辑'!$A$1,COLUMN(P8)-1,ROW(P8)-2)</f>
        <v>#N/A</v>
      </c>
      <c r="Q8" s="6"/>
    </row>
    <row r="9" spans="1:17">
      <c r="A9" s="3">
        <f ca="1">OFFSET('!数据编辑'!$A$1,COLUMN(A9)-1,ROW(A9)-2)</f>
        <v>5</v>
      </c>
      <c r="B9" s="3" t="str">
        <f ca="1">OFFSET('!数据编辑'!$A$1,COLUMN(B9)-1,ROW(B9)-2)</f>
        <v>蓝队高级</v>
      </c>
      <c r="C9" s="3">
        <f ca="1">OFFSET('!数据编辑'!$A$1,COLUMN(C9)-1,ROW(C9)-2)</f>
        <v>1</v>
      </c>
      <c r="D9" s="3">
        <f ca="1">OFFSET('!数据编辑'!$A$1,COLUMN(D9)-1,ROW(D9)-2)</f>
        <v>1</v>
      </c>
      <c r="E9" s="3">
        <f ca="1">OFFSET('!数据编辑'!$A$1,COLUMN(E9)-1,ROW(E9)-2)</f>
        <v>1</v>
      </c>
      <c r="F9" s="3">
        <f ca="1">OFFSET('!数据编辑'!$A$1,COLUMN(F9)-1,ROW(F9)-2)</f>
        <v>0</v>
      </c>
      <c r="G9" s="3">
        <f ca="1">OFFSET('!数据编辑'!$A$1,COLUMN(G9)-1,ROW(G9)-2)</f>
        <v>1</v>
      </c>
      <c r="H9" s="3">
        <f ca="1">OFFSET('!数据编辑'!$A$1,COLUMN(H9)-1,ROW(H9)-2)</f>
        <v>0</v>
      </c>
      <c r="I9" s="6" t="e">
        <f ca="1">OFFSET('!数据编辑'!$A$1,COLUMN(I9)-1,ROW(I9)-2)</f>
        <v>#N/A</v>
      </c>
      <c r="J9" s="6" t="e">
        <f ca="1">OFFSET('!数据编辑'!$A$1,COLUMN(J9)-1,ROW(J9)-2)</f>
        <v>#N/A</v>
      </c>
      <c r="K9" s="6" t="e">
        <f ca="1">OFFSET('!数据编辑'!$A$1,COLUMN(K9)-1,ROW(K9)-2)</f>
        <v>#N/A</v>
      </c>
      <c r="L9" s="6" t="e">
        <f ca="1">OFFSET('!数据编辑'!$A$1,COLUMN(L9)-1,ROW(L9)-2)</f>
        <v>#N/A</v>
      </c>
      <c r="M9" s="6" t="e">
        <f ca="1">OFFSET('!数据编辑'!$A$1,COLUMN(M9)-1,ROW(M9)-2)</f>
        <v>#N/A</v>
      </c>
      <c r="N9" s="6" t="e">
        <f ca="1">OFFSET('!数据编辑'!$A$1,COLUMN(N9)-1,ROW(N9)-2)</f>
        <v>#N/A</v>
      </c>
      <c r="O9" s="6" t="e">
        <f ca="1">OFFSET('!数据编辑'!$A$1,COLUMN(O9)-1,ROW(O9)-2)</f>
        <v>#N/A</v>
      </c>
      <c r="P9" s="6" t="e">
        <f ca="1">OFFSET('!数据编辑'!$A$1,COLUMN(P9)-1,ROW(P9)-2)</f>
        <v>#N/A</v>
      </c>
      <c r="Q9" s="6"/>
    </row>
    <row r="10" spans="1:17">
      <c r="A10" s="3">
        <f ca="1">OFFSET('!数据编辑'!$A$1,COLUMN(A10)-1,ROW(A10)-2)</f>
        <v>6</v>
      </c>
      <c r="B10" s="3" t="str">
        <f ca="1">OFFSET('!数据编辑'!$A$1,COLUMN(B10)-1,ROW(B10)-2)</f>
        <v>红队高级</v>
      </c>
      <c r="C10" s="3">
        <f ca="1">OFFSET('!数据编辑'!$A$1,COLUMN(C10)-1,ROW(C10)-2)</f>
        <v>1</v>
      </c>
      <c r="D10" s="3">
        <f ca="1">OFFSET('!数据编辑'!$A$1,COLUMN(D10)-1,ROW(D10)-2)</f>
        <v>1</v>
      </c>
      <c r="E10" s="3">
        <f ca="1">OFFSET('!数据编辑'!$A$1,COLUMN(E10)-1,ROW(E10)-2)</f>
        <v>1</v>
      </c>
      <c r="F10" s="3">
        <f ca="1">OFFSET('!数据编辑'!$A$1,COLUMN(F10)-1,ROW(F10)-2)</f>
        <v>1</v>
      </c>
      <c r="G10" s="3">
        <f ca="1">OFFSET('!数据编辑'!$A$1,COLUMN(G10)-1,ROW(G10)-2)</f>
        <v>0</v>
      </c>
      <c r="H10" s="3">
        <f ca="1">OFFSET('!数据编辑'!$A$1,COLUMN(H10)-1,ROW(H10)-2)</f>
        <v>1</v>
      </c>
      <c r="I10" s="3">
        <f ca="1">OFFSET('!数据编辑'!$A$1,COLUMN(I10)-1,ROW(I10)-2)</f>
        <v>0</v>
      </c>
      <c r="J10" s="6" t="e">
        <f ca="1">OFFSET('!数据编辑'!$A$1,COLUMN(J10)-1,ROW(J10)-2)</f>
        <v>#N/A</v>
      </c>
      <c r="K10" s="6" t="e">
        <f ca="1">OFFSET('!数据编辑'!$A$1,COLUMN(K10)-1,ROW(K10)-2)</f>
        <v>#N/A</v>
      </c>
      <c r="L10" s="6" t="e">
        <f ca="1">OFFSET('!数据编辑'!$A$1,COLUMN(L10)-1,ROW(L10)-2)</f>
        <v>#N/A</v>
      </c>
      <c r="M10" s="6" t="e">
        <f ca="1">OFFSET('!数据编辑'!$A$1,COLUMN(M10)-1,ROW(M10)-2)</f>
        <v>#N/A</v>
      </c>
      <c r="N10" s="6" t="e">
        <f ca="1">OFFSET('!数据编辑'!$A$1,COLUMN(N10)-1,ROW(N10)-2)</f>
        <v>#N/A</v>
      </c>
      <c r="O10" s="6" t="e">
        <f ca="1">OFFSET('!数据编辑'!$A$1,COLUMN(O10)-1,ROW(O10)-2)</f>
        <v>#N/A</v>
      </c>
      <c r="P10" s="6" t="e">
        <f ca="1">OFFSET('!数据编辑'!$A$1,COLUMN(P10)-1,ROW(P10)-2)</f>
        <v>#N/A</v>
      </c>
      <c r="Q10" s="6"/>
    </row>
    <row r="11" spans="1:17">
      <c r="A11" s="3">
        <f ca="1">OFFSET('!数据编辑'!$A$1,COLUMN(A11)-1,ROW(A11)-2)</f>
        <v>7</v>
      </c>
      <c r="B11" s="3" t="str">
        <f ca="1">OFFSET('!数据编辑'!$A$1,COLUMN(B11)-1,ROW(B11)-2)</f>
        <v>蓝队护盾</v>
      </c>
      <c r="C11" s="3">
        <f ca="1">OFFSET('!数据编辑'!$A$1,COLUMN(C11)-1,ROW(C11)-2)</f>
        <v>0</v>
      </c>
      <c r="D11" s="3">
        <f ca="1">OFFSET('!数据编辑'!$A$1,COLUMN(D11)-1,ROW(D11)-2)</f>
        <v>0</v>
      </c>
      <c r="E11" s="3">
        <f ca="1">OFFSET('!数据编辑'!$A$1,COLUMN(E11)-1,ROW(E11)-2)</f>
        <v>0</v>
      </c>
      <c r="F11" s="3">
        <f ca="1">OFFSET('!数据编辑'!$A$1,COLUMN(F11)-1,ROW(F11)-2)</f>
        <v>0</v>
      </c>
      <c r="G11" s="3">
        <f ca="1">OFFSET('!数据编辑'!$A$1,COLUMN(G11)-1,ROW(G11)-2)</f>
        <v>1</v>
      </c>
      <c r="H11" s="3">
        <f ca="1">OFFSET('!数据编辑'!$A$1,COLUMN(H11)-1,ROW(H11)-2)</f>
        <v>0</v>
      </c>
      <c r="I11" s="3">
        <f ca="1">OFFSET('!数据编辑'!$A$1,COLUMN(I11)-1,ROW(I11)-2)</f>
        <v>1</v>
      </c>
      <c r="J11" s="3">
        <f ca="1">OFFSET('!数据编辑'!$A$1,COLUMN(J11)-1,ROW(J11)-2)</f>
        <v>0</v>
      </c>
      <c r="K11" s="6" t="e">
        <f ca="1">OFFSET('!数据编辑'!$A$1,COLUMN(K11)-1,ROW(K11)-2)</f>
        <v>#N/A</v>
      </c>
      <c r="L11" s="6" t="e">
        <f ca="1">OFFSET('!数据编辑'!$A$1,COLUMN(L11)-1,ROW(L11)-2)</f>
        <v>#N/A</v>
      </c>
      <c r="M11" s="6" t="e">
        <f ca="1">OFFSET('!数据编辑'!$A$1,COLUMN(M11)-1,ROW(M11)-2)</f>
        <v>#N/A</v>
      </c>
      <c r="N11" s="6" t="e">
        <f ca="1">OFFSET('!数据编辑'!$A$1,COLUMN(N11)-1,ROW(N11)-2)</f>
        <v>#N/A</v>
      </c>
      <c r="O11" s="6" t="e">
        <f ca="1">OFFSET('!数据编辑'!$A$1,COLUMN(O11)-1,ROW(O11)-2)</f>
        <v>#N/A</v>
      </c>
      <c r="P11" s="6" t="e">
        <f ca="1">OFFSET('!数据编辑'!$A$1,COLUMN(P11)-1,ROW(P11)-2)</f>
        <v>#N/A</v>
      </c>
      <c r="Q11" s="6"/>
    </row>
    <row r="12" spans="1:17">
      <c r="A12" s="3">
        <f ca="1">OFFSET('!数据编辑'!$A$1,COLUMN(A12)-1,ROW(A12)-2)</f>
        <v>8</v>
      </c>
      <c r="B12" s="3" t="str">
        <f ca="1">OFFSET('!数据编辑'!$A$1,COLUMN(B12)-1,ROW(B12)-2)</f>
        <v>红队护盾</v>
      </c>
      <c r="C12" s="3">
        <f ca="1">OFFSET('!数据编辑'!$A$1,COLUMN(C12)-1,ROW(C12)-2)</f>
        <v>0</v>
      </c>
      <c r="D12" s="3">
        <f ca="1">OFFSET('!数据编辑'!$A$1,COLUMN(D12)-1,ROW(D12)-2)</f>
        <v>0</v>
      </c>
      <c r="E12" s="3">
        <f ca="1">OFFSET('!数据编辑'!$A$1,COLUMN(E12)-1,ROW(E12)-2)</f>
        <v>0</v>
      </c>
      <c r="F12" s="3">
        <f ca="1">OFFSET('!数据编辑'!$A$1,COLUMN(F12)-1,ROW(F12)-2)</f>
        <v>1</v>
      </c>
      <c r="G12" s="3">
        <f ca="1">OFFSET('!数据编辑'!$A$1,COLUMN(G12)-1,ROW(G12)-2)</f>
        <v>0</v>
      </c>
      <c r="H12" s="3">
        <f ca="1">OFFSET('!数据编辑'!$A$1,COLUMN(H12)-1,ROW(H12)-2)</f>
        <v>1</v>
      </c>
      <c r="I12" s="3">
        <f ca="1">OFFSET('!数据编辑'!$A$1,COLUMN(I12)-1,ROW(I12)-2)</f>
        <v>0</v>
      </c>
      <c r="J12" s="3">
        <f ca="1">OFFSET('!数据编辑'!$A$1,COLUMN(J12)-1,ROW(J12)-2)</f>
        <v>0</v>
      </c>
      <c r="K12" s="3">
        <f ca="1">OFFSET('!数据编辑'!$A$1,COLUMN(K12)-1,ROW(K12)-2)</f>
        <v>0</v>
      </c>
      <c r="L12" s="6" t="e">
        <f ca="1">OFFSET('!数据编辑'!$A$1,COLUMN(L12)-1,ROW(L12)-2)</f>
        <v>#N/A</v>
      </c>
      <c r="M12" s="6" t="e">
        <f ca="1">OFFSET('!数据编辑'!$A$1,COLUMN(M12)-1,ROW(M12)-2)</f>
        <v>#N/A</v>
      </c>
      <c r="N12" s="6" t="e">
        <f ca="1">OFFSET('!数据编辑'!$A$1,COLUMN(N12)-1,ROW(N12)-2)</f>
        <v>#N/A</v>
      </c>
      <c r="O12" s="6" t="e">
        <f ca="1">OFFSET('!数据编辑'!$A$1,COLUMN(O12)-1,ROW(O12)-2)</f>
        <v>#N/A</v>
      </c>
      <c r="P12" s="6" t="e">
        <f ca="1">OFFSET('!数据编辑'!$A$1,COLUMN(P12)-1,ROW(P12)-2)</f>
        <v>#N/A</v>
      </c>
      <c r="Q12" s="6"/>
    </row>
    <row r="13" spans="1:17">
      <c r="A13" s="3">
        <f ca="1">OFFSET('!数据编辑'!$A$1,COLUMN(A13)-1,ROW(A13)-2)</f>
        <v>9</v>
      </c>
      <c r="B13" s="3" t="str">
        <f ca="1">OFFSET('!数据编辑'!$A$1,COLUMN(B13)-1,ROW(B13)-2)</f>
        <v>蓝队格子</v>
      </c>
      <c r="C13" s="3">
        <f ca="1">OFFSET('!数据编辑'!$A$1,COLUMN(C13)-1,ROW(C13)-2)</f>
        <v>0</v>
      </c>
      <c r="D13" s="3">
        <f ca="1">OFFSET('!数据编辑'!$A$1,COLUMN(D13)-1,ROW(D13)-2)</f>
        <v>0</v>
      </c>
      <c r="E13" s="3">
        <f ca="1">OFFSET('!数据编辑'!$A$1,COLUMN(E13)-1,ROW(E13)-2)</f>
        <v>0</v>
      </c>
      <c r="F13" s="3">
        <f ca="1">OFFSET('!数据编辑'!$A$1,COLUMN(F13)-1,ROW(F13)-2)</f>
        <v>0</v>
      </c>
      <c r="G13" s="3">
        <f ca="1">OFFSET('!数据编辑'!$A$1,COLUMN(G13)-1,ROW(G13)-2)</f>
        <v>1</v>
      </c>
      <c r="H13" s="3">
        <f ca="1">OFFSET('!数据编辑'!$A$1,COLUMN(H13)-1,ROW(H13)-2)</f>
        <v>0</v>
      </c>
      <c r="I13" s="3">
        <f ca="1">OFFSET('!数据编辑'!$A$1,COLUMN(I13)-1,ROW(I13)-2)</f>
        <v>1</v>
      </c>
      <c r="J13" s="3">
        <f ca="1">OFFSET('!数据编辑'!$A$1,COLUMN(J13)-1,ROW(J13)-2)</f>
        <v>1</v>
      </c>
      <c r="K13" s="3">
        <f ca="1">OFFSET('!数据编辑'!$A$1,COLUMN(K13)-1,ROW(K13)-2)</f>
        <v>1</v>
      </c>
      <c r="L13" s="6">
        <f ca="1">OFFSET('!数据编辑'!$A$1,COLUMN(L13)-1,ROW(L13)-2)</f>
        <v>0</v>
      </c>
      <c r="M13" s="6" t="e">
        <f ca="1">OFFSET('!数据编辑'!$A$1,COLUMN(M13)-1,ROW(M13)-2)</f>
        <v>#N/A</v>
      </c>
      <c r="N13" s="6" t="e">
        <f ca="1">OFFSET('!数据编辑'!$A$1,COLUMN(N13)-1,ROW(N13)-2)</f>
        <v>#N/A</v>
      </c>
      <c r="O13" s="6" t="e">
        <f ca="1">OFFSET('!数据编辑'!$A$1,COLUMN(O13)-1,ROW(O13)-2)</f>
        <v>#N/A</v>
      </c>
      <c r="P13" s="6" t="e">
        <f ca="1">OFFSET('!数据编辑'!$A$1,COLUMN(P13)-1,ROW(P13)-2)</f>
        <v>#N/A</v>
      </c>
      <c r="Q13" s="6"/>
    </row>
    <row r="14" spans="1:17">
      <c r="A14" s="3">
        <f ca="1">OFFSET('!数据编辑'!$A$1,COLUMN(A14)-1,ROW(A14)-2)</f>
        <v>10</v>
      </c>
      <c r="B14" s="3" t="str">
        <f ca="1">OFFSET('!数据编辑'!$A$1,COLUMN(B14)-1,ROW(B14)-2)</f>
        <v>红队格子</v>
      </c>
      <c r="C14" s="3">
        <f ca="1">OFFSET('!数据编辑'!$A$1,COLUMN(C14)-1,ROW(C14)-2)</f>
        <v>0</v>
      </c>
      <c r="D14" s="3">
        <f ca="1">OFFSET('!数据编辑'!$A$1,COLUMN(D14)-1,ROW(D14)-2)</f>
        <v>0</v>
      </c>
      <c r="E14" s="3">
        <f ca="1">OFFSET('!数据编辑'!$A$1,COLUMN(E14)-1,ROW(E14)-2)</f>
        <v>0</v>
      </c>
      <c r="F14" s="3">
        <f ca="1">OFFSET('!数据编辑'!$A$1,COLUMN(F14)-1,ROW(F14)-2)</f>
        <v>1</v>
      </c>
      <c r="G14" s="3">
        <f ca="1">OFFSET('!数据编辑'!$A$1,COLUMN(G14)-1,ROW(G14)-2)</f>
        <v>0</v>
      </c>
      <c r="H14" s="3">
        <f ca="1">OFFSET('!数据编辑'!$A$1,COLUMN(H14)-1,ROW(H14)-2)</f>
        <v>1</v>
      </c>
      <c r="I14" s="3">
        <f ca="1">OFFSET('!数据编辑'!$A$1,COLUMN(I14)-1,ROW(I14)-2)</f>
        <v>0</v>
      </c>
      <c r="J14" s="3">
        <f ca="1">OFFSET('!数据编辑'!$A$1,COLUMN(J14)-1,ROW(J14)-2)</f>
        <v>1</v>
      </c>
      <c r="K14" s="3">
        <f ca="1">OFFSET('!数据编辑'!$A$1,COLUMN(K14)-1,ROW(K14)-2)</f>
        <v>1</v>
      </c>
      <c r="L14" s="3">
        <f ca="1">OFFSET('!数据编辑'!$A$1,COLUMN(L14)-1,ROW(L14)-2)</f>
        <v>0</v>
      </c>
      <c r="M14" s="6">
        <f ca="1">OFFSET('!数据编辑'!$A$1,COLUMN(M14)-1,ROW(M14)-2)</f>
        <v>0</v>
      </c>
      <c r="N14" s="6" t="e">
        <f ca="1">OFFSET('!数据编辑'!$A$1,COLUMN(N14)-1,ROW(N14)-2)</f>
        <v>#N/A</v>
      </c>
      <c r="O14" s="6" t="e">
        <f ca="1">OFFSET('!数据编辑'!$A$1,COLUMN(O14)-1,ROW(O14)-2)</f>
        <v>#N/A</v>
      </c>
      <c r="P14" s="6" t="e">
        <f ca="1">OFFSET('!数据编辑'!$A$1,COLUMN(P14)-1,ROW(P14)-2)</f>
        <v>#N/A</v>
      </c>
      <c r="Q14" s="6"/>
    </row>
    <row r="15" spans="1:17">
      <c r="A15" s="3">
        <v>11</v>
      </c>
      <c r="B15" s="3" t="str">
        <f ca="1">OFFSET('!数据编辑'!$A$1,COLUMN(B15)-1,ROW(B15)-2)</f>
        <v>中立格子</v>
      </c>
      <c r="C15" s="3">
        <f ca="1">OFFSET('!数据编辑'!$A$1,COLUMN(C15)-1,ROW(C15)-2)</f>
        <v>0</v>
      </c>
      <c r="D15" s="3">
        <f ca="1">OFFSET('!数据编辑'!$A$1,COLUMN(D15)-1,ROW(D15)-2)</f>
        <v>0</v>
      </c>
      <c r="E15" s="3">
        <f ca="1">OFFSET('!数据编辑'!$A$1,COLUMN(E15)-1,ROW(E15)-2)</f>
        <v>0</v>
      </c>
      <c r="F15" s="3">
        <f ca="1">OFFSET('!数据编辑'!$A$1,COLUMN(F15)-1,ROW(F15)-2)</f>
        <v>1</v>
      </c>
      <c r="G15" s="3">
        <f ca="1">OFFSET('!数据编辑'!$A$1,COLUMN(G15)-1,ROW(G15)-2)</f>
        <v>1</v>
      </c>
      <c r="H15" s="3">
        <f ca="1">OFFSET('!数据编辑'!$A$1,COLUMN(H15)-1,ROW(H15)-2)</f>
        <v>1</v>
      </c>
      <c r="I15" s="3">
        <f ca="1">OFFSET('!数据编辑'!$A$1,COLUMN(I15)-1,ROW(I15)-2)</f>
        <v>1</v>
      </c>
      <c r="J15" s="3">
        <f ca="1">OFFSET('!数据编辑'!$A$1,COLUMN(J15)-1,ROW(J15)-2)</f>
        <v>1</v>
      </c>
      <c r="K15" s="3">
        <f ca="1">OFFSET('!数据编辑'!$A$1,COLUMN(K15)-1,ROW(K15)-2)</f>
        <v>1</v>
      </c>
      <c r="L15" s="3">
        <f ca="1">OFFSET('!数据编辑'!$A$1,COLUMN(L15)-1,ROW(L15)-2)</f>
        <v>0</v>
      </c>
      <c r="M15" s="3">
        <f ca="1">OFFSET('!数据编辑'!$A$1,COLUMN(M15)-1,ROW(M15)-2)</f>
        <v>0</v>
      </c>
      <c r="N15" s="6">
        <f ca="1">OFFSET('!数据编辑'!$A$1,COLUMN(N15)-1,ROW(N15)-2)</f>
        <v>0</v>
      </c>
      <c r="O15" s="6" t="e">
        <f ca="1">OFFSET('!数据编辑'!$A$1,COLUMN(O15)-1,ROW(O15)-2)</f>
        <v>#N/A</v>
      </c>
      <c r="P15" s="6" t="e">
        <f ca="1">OFFSET('!数据编辑'!$A$1,COLUMN(P15)-1,ROW(P15)-2)</f>
        <v>#N/A</v>
      </c>
      <c r="Q15" s="6"/>
    </row>
    <row r="16" spans="1:17">
      <c r="A16" s="3">
        <v>12</v>
      </c>
      <c r="B16" s="3" t="str">
        <f ca="1">OFFSET('!数据编辑'!$A$1,COLUMN(B16)-1,ROW(B16)-2)</f>
        <v>蓝色小型</v>
      </c>
      <c r="C16" s="3">
        <f ca="1">OFFSET('!数据编辑'!$A$1,COLUMN(C16)-1,ROW(C16)-2)</f>
        <v>1</v>
      </c>
      <c r="D16" s="3">
        <f ca="1">OFFSET('!数据编辑'!$A$1,COLUMN(D16)-1,ROW(D16)-2)</f>
        <v>0</v>
      </c>
      <c r="E16" s="3">
        <f ca="1">OFFSET('!数据编辑'!$A$1,COLUMN(E16)-1,ROW(E16)-2)</f>
        <v>0</v>
      </c>
      <c r="F16" s="3">
        <f ca="1">OFFSET('!数据编辑'!$A$1,COLUMN(F16)-1,ROW(F16)-2)</f>
        <v>0</v>
      </c>
      <c r="G16" s="3">
        <f ca="1">OFFSET('!数据编辑'!$A$1,COLUMN(G16)-1,ROW(G16)-2)</f>
        <v>1</v>
      </c>
      <c r="H16" s="3">
        <f ca="1">OFFSET('!数据编辑'!$A$1,COLUMN(H16)-1,ROW(H16)-2)</f>
        <v>0</v>
      </c>
      <c r="I16" s="3">
        <f ca="1">OFFSET('!数据编辑'!$A$1,COLUMN(I16)-1,ROW(I16)-2)</f>
        <v>1</v>
      </c>
      <c r="J16" s="3">
        <f ca="1">OFFSET('!数据编辑'!$A$1,COLUMN(J16)-1,ROW(J16)-2)</f>
        <v>0</v>
      </c>
      <c r="K16" s="3">
        <f ca="1">OFFSET('!数据编辑'!$A$1,COLUMN(K16)-1,ROW(K16)-2)</f>
        <v>1</v>
      </c>
      <c r="L16" s="3">
        <f ca="1">OFFSET('!数据编辑'!$A$1,COLUMN(L16)-1,ROW(L16)-2)</f>
        <v>0</v>
      </c>
      <c r="M16" s="3">
        <f ca="1">OFFSET('!数据编辑'!$A$1,COLUMN(M16)-1,ROW(M16)-2)</f>
        <v>1</v>
      </c>
      <c r="N16" s="6">
        <f ca="1">OFFSET('!数据编辑'!$A$1,COLUMN(N16)-1,ROW(N16)-2)</f>
        <v>1</v>
      </c>
      <c r="O16" s="6">
        <f ca="1">OFFSET('!数据编辑'!$A$1,COLUMN(O16)-1,ROW(O16)-2)</f>
        <v>0</v>
      </c>
      <c r="P16" s="6" t="e">
        <f ca="1">OFFSET('!数据编辑'!$A$1,COLUMN(P16)-1,ROW(P16)-2)</f>
        <v>#N/A</v>
      </c>
      <c r="Q16" s="6"/>
    </row>
    <row r="17" spans="1:17">
      <c r="A17" s="3">
        <v>13</v>
      </c>
      <c r="B17" s="3" t="str">
        <f ca="1">OFFSET('!数据编辑'!$A$1,COLUMN(B17)-1,ROW(B17)-2)</f>
        <v>红色小型</v>
      </c>
      <c r="C17" s="3">
        <f ca="1">OFFSET('!数据编辑'!$A$1,COLUMN(C17)-1,ROW(C17)-2)</f>
        <v>1</v>
      </c>
      <c r="D17" s="3">
        <f ca="1">OFFSET('!数据编辑'!$A$1,COLUMN(D17)-1,ROW(D17)-2)</f>
        <v>0</v>
      </c>
      <c r="E17" s="3">
        <f ca="1">OFFSET('!数据编辑'!$A$1,COLUMN(E17)-1,ROW(E17)-2)</f>
        <v>0</v>
      </c>
      <c r="F17" s="3">
        <f ca="1">OFFSET('!数据编辑'!$A$1,COLUMN(F17)-1,ROW(F17)-2)</f>
        <v>1</v>
      </c>
      <c r="G17" s="3">
        <f ca="1">OFFSET('!数据编辑'!$A$1,COLUMN(G17)-1,ROW(G17)-2)</f>
        <v>0</v>
      </c>
      <c r="H17" s="3">
        <f ca="1">OFFSET('!数据编辑'!$A$1,COLUMN(H17)-1,ROW(H17)-2)</f>
        <v>1</v>
      </c>
      <c r="I17" s="3">
        <f ca="1">OFFSET('!数据编辑'!$A$1,COLUMN(I17)-1,ROW(I17)-2)</f>
        <v>0</v>
      </c>
      <c r="J17" s="3">
        <f ca="1">OFFSET('!数据编辑'!$A$1,COLUMN(J17)-1,ROW(J17)-2)</f>
        <v>1</v>
      </c>
      <c r="K17" s="3">
        <f ca="1">OFFSET('!数据编辑'!$A$1,COLUMN(K17)-1,ROW(K17)-2)</f>
        <v>0</v>
      </c>
      <c r="L17" s="3">
        <f ca="1">OFFSET('!数据编辑'!$A$1,COLUMN(L17)-1,ROW(L17)-2)</f>
        <v>1</v>
      </c>
      <c r="M17" s="3">
        <f ca="1">OFFSET('!数据编辑'!$A$1,COLUMN(M17)-1,ROW(M17)-2)</f>
        <v>0</v>
      </c>
      <c r="N17" s="6">
        <f ca="1">OFFSET('!数据编辑'!$A$1,COLUMN(N17)-1,ROW(N17)-2)</f>
        <v>1</v>
      </c>
      <c r="O17" s="6">
        <f ca="1">OFFSET('!数据编辑'!$A$1,COLUMN(O17)-1,ROW(O17)-2)</f>
        <v>1</v>
      </c>
      <c r="P17" s="6">
        <f ca="1">OFFSET('!数据编辑'!$A$1,COLUMN(P17)-1,ROW(P17)-2)</f>
        <v>0</v>
      </c>
      <c r="Q17" s="6"/>
    </row>
    <row r="18" spans="14:14">
      <c r="N18" s="6"/>
    </row>
  </sheetData>
  <pageMargins left="0.699305555555556" right="0.699305555555556"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9"/>
  <sheetViews>
    <sheetView tabSelected="1" zoomScale="70" zoomScaleNormal="70" workbookViewId="0">
      <pane xSplit="2" ySplit="2" topLeftCell="C7" activePane="bottomRight" state="frozen"/>
      <selection/>
      <selection pane="topRight"/>
      <selection pane="bottomLeft"/>
      <selection pane="bottomRight" activeCell="N30" sqref="A29:N30"/>
    </sheetView>
  </sheetViews>
  <sheetFormatPr defaultColWidth="9" defaultRowHeight="17.4"/>
  <cols>
    <col min="1" max="1" width="8.33333333333333" style="4" customWidth="1"/>
    <col min="2" max="4" width="13.1111111111111" style="4" customWidth="1"/>
    <col min="5" max="19" width="10.6666666666667" style="4" customWidth="1"/>
    <col min="20" max="20" width="8.33333333333333" style="4" customWidth="1"/>
    <col min="21" max="16384" width="9" style="4"/>
  </cols>
  <sheetData>
    <row r="1" spans="1:18">
      <c r="A1" s="4" t="s">
        <v>0</v>
      </c>
      <c r="B1" s="4" t="s">
        <v>1</v>
      </c>
      <c r="C1" s="4">
        <v>0</v>
      </c>
      <c r="D1" s="4">
        <v>1</v>
      </c>
      <c r="E1" s="4">
        <v>2</v>
      </c>
      <c r="F1" s="4">
        <v>3</v>
      </c>
      <c r="G1" s="4">
        <v>4</v>
      </c>
      <c r="H1" s="4">
        <v>5</v>
      </c>
      <c r="I1" s="4">
        <v>6</v>
      </c>
      <c r="J1" s="4">
        <v>7</v>
      </c>
      <c r="K1" s="4">
        <v>8</v>
      </c>
      <c r="L1" s="4">
        <v>9</v>
      </c>
      <c r="M1" s="4">
        <v>10</v>
      </c>
      <c r="N1" s="4">
        <v>11</v>
      </c>
      <c r="O1" s="4">
        <v>12</v>
      </c>
      <c r="P1" s="4">
        <v>13</v>
      </c>
      <c r="Q1" s="4">
        <v>14</v>
      </c>
      <c r="R1" s="4">
        <v>15</v>
      </c>
    </row>
    <row r="2" spans="1:16">
      <c r="A2" s="4" t="s">
        <v>2</v>
      </c>
      <c r="B2" s="4" t="s">
        <v>3</v>
      </c>
      <c r="C2" s="4" t="s">
        <v>4</v>
      </c>
      <c r="D2" s="4" t="s">
        <v>5</v>
      </c>
      <c r="E2" s="4" t="s">
        <v>6</v>
      </c>
      <c r="F2" s="4" t="s">
        <v>7</v>
      </c>
      <c r="G2" s="4" t="s">
        <v>8</v>
      </c>
      <c r="H2" s="4" t="s">
        <v>9</v>
      </c>
      <c r="I2" s="4" t="s">
        <v>10</v>
      </c>
      <c r="J2" s="4" t="s">
        <v>11</v>
      </c>
      <c r="K2" s="4" t="s">
        <v>12</v>
      </c>
      <c r="L2" s="4" t="s">
        <v>13</v>
      </c>
      <c r="M2" s="4" t="s">
        <v>14</v>
      </c>
      <c r="N2" s="4" t="s">
        <v>15</v>
      </c>
      <c r="O2" s="4" t="s">
        <v>16</v>
      </c>
      <c r="P2" s="4" t="s">
        <v>17</v>
      </c>
    </row>
    <row r="3" spans="1:16">
      <c r="A3" s="4">
        <v>0</v>
      </c>
      <c r="B3" s="4" t="s">
        <v>18</v>
      </c>
      <c r="C3" s="4">
        <f>VLOOKUP(C22,'!副表'!$C:$D,2,0)</f>
        <v>0</v>
      </c>
      <c r="D3" s="4">
        <f>VLOOKUP(D22,'!副表'!$C:$D,2,0)</f>
        <v>0</v>
      </c>
      <c r="E3" s="4">
        <f>VLOOKUP(E22,'!副表'!$C:$D,2,0)</f>
        <v>0</v>
      </c>
      <c r="F3" s="4">
        <f>VLOOKUP(F22,'!副表'!$C:$D,2,0)</f>
        <v>1</v>
      </c>
      <c r="G3" s="4">
        <f>VLOOKUP(G22,'!副表'!$C:$D,2,0)</f>
        <v>1</v>
      </c>
      <c r="H3" s="4">
        <f>VLOOKUP(H22,'!副表'!$C:$D,2,0)</f>
        <v>1</v>
      </c>
      <c r="I3" s="4">
        <f>VLOOKUP(I22,'!副表'!$C:$D,2,0)</f>
        <v>1</v>
      </c>
      <c r="J3" s="4">
        <f>VLOOKUP(J22,'!副表'!$C:$D,2,0)</f>
        <v>0</v>
      </c>
      <c r="K3" s="4">
        <f>VLOOKUP(K22,'!副表'!$C:$D,2,0)</f>
        <v>0</v>
      </c>
      <c r="L3" s="4">
        <f>VLOOKUP(L22,'!副表'!$C:$D,2,0)</f>
        <v>0</v>
      </c>
      <c r="M3" s="4">
        <f>VLOOKUP(M22,'!副表'!$C:$D,2,0)</f>
        <v>0</v>
      </c>
      <c r="N3" s="4">
        <f>VLOOKUP(N22,'!副表'!$C:$D,2,0)</f>
        <v>0</v>
      </c>
      <c r="O3" s="4">
        <f>VLOOKUP(O22,'!副表'!$C:$D,2,0)</f>
        <v>1</v>
      </c>
      <c r="P3" s="4">
        <f>VLOOKUP(P22,'!副表'!$C:$D,2,0)</f>
        <v>1</v>
      </c>
    </row>
    <row r="4" spans="1:16">
      <c r="A4" s="5">
        <v>1</v>
      </c>
      <c r="B4" s="5" t="s">
        <v>18</v>
      </c>
      <c r="C4" s="4" t="e">
        <f>VLOOKUP(C23,'!副表'!$C:$D,2,0)</f>
        <v>#N/A</v>
      </c>
      <c r="D4" s="4">
        <f>VLOOKUP(D23,'!副表'!$C:$D,2,0)</f>
        <v>0</v>
      </c>
      <c r="E4" s="4">
        <f>VLOOKUP(E23,'!副表'!$C:$D,2,0)</f>
        <v>0</v>
      </c>
      <c r="F4" s="4">
        <f>VLOOKUP(F23,'!副表'!$C:$D,2,0)</f>
        <v>0</v>
      </c>
      <c r="G4" s="4">
        <f>VLOOKUP(G23,'!副表'!$C:$D,2,0)</f>
        <v>1</v>
      </c>
      <c r="H4" s="4">
        <f>VLOOKUP(H23,'!副表'!$C:$D,2,0)</f>
        <v>1</v>
      </c>
      <c r="I4" s="4">
        <f>VLOOKUP(I23,'!副表'!$C:$D,2,0)</f>
        <v>1</v>
      </c>
      <c r="J4" s="4">
        <f>VLOOKUP(J23,'!副表'!$C:$D,2,0)</f>
        <v>0</v>
      </c>
      <c r="K4" s="4">
        <f>VLOOKUP(K23,'!副表'!$C:$D,2,0)</f>
        <v>0</v>
      </c>
      <c r="L4" s="4">
        <f>VLOOKUP(L23,'!副表'!$C:$D,2,0)</f>
        <v>0</v>
      </c>
      <c r="M4" s="4">
        <f>VLOOKUP(M23,'!副表'!$C:$D,2,0)</f>
        <v>0</v>
      </c>
      <c r="N4" s="4">
        <f>VLOOKUP(N23,'!副表'!$C:$D,2,0)</f>
        <v>0</v>
      </c>
      <c r="O4" s="4">
        <f>VLOOKUP(O23,'!副表'!$C:$D,2,0)</f>
        <v>0</v>
      </c>
      <c r="P4" s="4">
        <f>VLOOKUP(P23,'!副表'!$C:$D,2,0)</f>
        <v>0</v>
      </c>
    </row>
    <row r="5" spans="1:16">
      <c r="A5" s="5">
        <v>2</v>
      </c>
      <c r="B5" s="5" t="s">
        <v>18</v>
      </c>
      <c r="C5" s="4" t="e">
        <f>VLOOKUP(C24,'!副表'!$C:$D,2,0)</f>
        <v>#N/A</v>
      </c>
      <c r="D5" s="4" t="e">
        <f>VLOOKUP(D24,'!副表'!$C:$D,2,0)</f>
        <v>#N/A</v>
      </c>
      <c r="E5" s="4">
        <f>VLOOKUP(E24,'!副表'!$C:$D,2,0)</f>
        <v>0</v>
      </c>
      <c r="F5" s="4">
        <f>VLOOKUP(F24,'!副表'!$C:$D,2,0)</f>
        <v>1</v>
      </c>
      <c r="G5" s="4">
        <f>VLOOKUP(G24,'!副表'!$C:$D,2,0)</f>
        <v>0</v>
      </c>
      <c r="H5" s="4">
        <f>VLOOKUP(H24,'!副表'!$C:$D,2,0)</f>
        <v>1</v>
      </c>
      <c r="I5" s="4">
        <f>VLOOKUP(I24,'!副表'!$C:$D,2,0)</f>
        <v>1</v>
      </c>
      <c r="J5" s="4">
        <f>VLOOKUP(J24,'!副表'!$C:$D,2,0)</f>
        <v>0</v>
      </c>
      <c r="K5" s="4">
        <f>VLOOKUP(K24,'!副表'!$C:$D,2,0)</f>
        <v>0</v>
      </c>
      <c r="L5" s="4">
        <f>VLOOKUP(L24,'!副表'!$C:$D,2,0)</f>
        <v>0</v>
      </c>
      <c r="M5" s="4">
        <f>VLOOKUP(M24,'!副表'!$C:$D,2,0)</f>
        <v>0</v>
      </c>
      <c r="N5" s="4">
        <f>VLOOKUP(N24,'!副表'!$C:$D,2,0)</f>
        <v>0</v>
      </c>
      <c r="O5" s="4">
        <f>VLOOKUP(O24,'!副表'!$C:$D,2,0)</f>
        <v>0</v>
      </c>
      <c r="P5" s="4">
        <f>VLOOKUP(P24,'!副表'!$C:$D,2,0)</f>
        <v>0</v>
      </c>
    </row>
    <row r="6" spans="1:16">
      <c r="A6" s="5">
        <v>3</v>
      </c>
      <c r="B6" s="5" t="s">
        <v>18</v>
      </c>
      <c r="C6" s="4" t="e">
        <f>VLOOKUP(C25,'!副表'!$C:$D,2,0)</f>
        <v>#N/A</v>
      </c>
      <c r="D6" s="4" t="e">
        <f>VLOOKUP(D25,'!副表'!$C:$D,2,0)</f>
        <v>#N/A</v>
      </c>
      <c r="E6" s="4" t="e">
        <f>VLOOKUP(E25,'!副表'!$C:$D,2,0)</f>
        <v>#N/A</v>
      </c>
      <c r="F6" s="4">
        <f>VLOOKUP(F25,'!副表'!$C:$D,2,0)</f>
        <v>0</v>
      </c>
      <c r="G6" s="4">
        <f>VLOOKUP(G25,'!副表'!$C:$D,2,0)</f>
        <v>1</v>
      </c>
      <c r="H6" s="4">
        <f>VLOOKUP(H25,'!副表'!$C:$D,2,0)</f>
        <v>0</v>
      </c>
      <c r="I6" s="4">
        <f>VLOOKUP(I25,'!副表'!$C:$D,2,0)</f>
        <v>1</v>
      </c>
      <c r="J6" s="4">
        <f>VLOOKUP(J25,'!副表'!$C:$D,2,0)</f>
        <v>0</v>
      </c>
      <c r="K6" s="4">
        <f>VLOOKUP(K25,'!副表'!$C:$D,2,0)</f>
        <v>1</v>
      </c>
      <c r="L6" s="4">
        <f>VLOOKUP(L25,'!副表'!$C:$D,2,0)</f>
        <v>0</v>
      </c>
      <c r="M6" s="4">
        <f>VLOOKUP(M25,'!副表'!$C:$D,2,0)</f>
        <v>1</v>
      </c>
      <c r="N6" s="4">
        <f>VLOOKUP(N25,'!副表'!$C:$D,2,0)</f>
        <v>1</v>
      </c>
      <c r="O6" s="4">
        <f>VLOOKUP(O25,'!副表'!$C:$D,2,0)</f>
        <v>0</v>
      </c>
      <c r="P6" s="4">
        <f>VLOOKUP(P25,'!副表'!$C:$D,2,0)</f>
        <v>1</v>
      </c>
    </row>
    <row r="7" spans="1:16">
      <c r="A7" s="5">
        <v>4</v>
      </c>
      <c r="B7" s="5" t="s">
        <v>18</v>
      </c>
      <c r="C7" s="4" t="e">
        <f>VLOOKUP(C26,'!副表'!$C:$D,2,0)</f>
        <v>#N/A</v>
      </c>
      <c r="D7" s="4" t="e">
        <f>VLOOKUP(D26,'!副表'!$C:$D,2,0)</f>
        <v>#N/A</v>
      </c>
      <c r="E7" s="4" t="e">
        <f>VLOOKUP(E26,'!副表'!$C:$D,2,0)</f>
        <v>#N/A</v>
      </c>
      <c r="F7" s="4" t="e">
        <f>VLOOKUP(F26,'!副表'!$C:$D,2,0)</f>
        <v>#N/A</v>
      </c>
      <c r="G7" s="4">
        <f>VLOOKUP(G26,'!副表'!$C:$D,2,0)</f>
        <v>0</v>
      </c>
      <c r="H7" s="4">
        <f>VLOOKUP(H26,'!副表'!$C:$D,2,0)</f>
        <v>1</v>
      </c>
      <c r="I7" s="4">
        <f>VLOOKUP(I26,'!副表'!$C:$D,2,0)</f>
        <v>0</v>
      </c>
      <c r="J7" s="4">
        <f>VLOOKUP(J26,'!副表'!$C:$D,2,0)</f>
        <v>1</v>
      </c>
      <c r="K7" s="4">
        <f>VLOOKUP(K26,'!副表'!$C:$D,2,0)</f>
        <v>0</v>
      </c>
      <c r="L7" s="4">
        <f>VLOOKUP(L26,'!副表'!$C:$D,2,0)</f>
        <v>1</v>
      </c>
      <c r="M7" s="4">
        <f>VLOOKUP(M26,'!副表'!$C:$D,2,0)</f>
        <v>0</v>
      </c>
      <c r="N7" s="4">
        <f>VLOOKUP(N26,'!副表'!$C:$D,2,0)</f>
        <v>1</v>
      </c>
      <c r="O7" s="4">
        <f>VLOOKUP(O26,'!副表'!$C:$D,2,0)</f>
        <v>1</v>
      </c>
      <c r="P7" s="4">
        <f>VLOOKUP(P26,'!副表'!$C:$D,2,0)</f>
        <v>0</v>
      </c>
    </row>
    <row r="8" spans="1:16">
      <c r="A8" s="5">
        <v>5</v>
      </c>
      <c r="B8" s="5" t="s">
        <v>18</v>
      </c>
      <c r="C8" s="4" t="e">
        <f>VLOOKUP(C27,'!副表'!$C:$D,2,0)</f>
        <v>#N/A</v>
      </c>
      <c r="D8" s="4" t="e">
        <f>VLOOKUP(D27,'!副表'!$C:$D,2,0)</f>
        <v>#N/A</v>
      </c>
      <c r="E8" s="4" t="e">
        <f>VLOOKUP(E27,'!副表'!$C:$D,2,0)</f>
        <v>#N/A</v>
      </c>
      <c r="F8" s="4" t="e">
        <f>VLOOKUP(F27,'!副表'!$C:$D,2,0)</f>
        <v>#N/A</v>
      </c>
      <c r="G8" s="4" t="e">
        <f>VLOOKUP(G27,'!副表'!$C:$D,2,0)</f>
        <v>#N/A</v>
      </c>
      <c r="H8" s="4">
        <f>VLOOKUP(H27,'!副表'!$C:$D,2,0)</f>
        <v>0</v>
      </c>
      <c r="I8" s="4">
        <f>VLOOKUP(I27,'!副表'!$C:$D,2,0)</f>
        <v>1</v>
      </c>
      <c r="J8" s="4">
        <f>VLOOKUP(J27,'!副表'!$C:$D,2,0)</f>
        <v>0</v>
      </c>
      <c r="K8" s="4">
        <f>VLOOKUP(K27,'!副表'!$C:$D,2,0)</f>
        <v>1</v>
      </c>
      <c r="L8" s="4">
        <f>VLOOKUP(L27,'!副表'!$C:$D,2,0)</f>
        <v>0</v>
      </c>
      <c r="M8" s="4">
        <f>VLOOKUP(M27,'!副表'!$C:$D,2,0)</f>
        <v>1</v>
      </c>
      <c r="N8" s="4">
        <f>VLOOKUP(N27,'!副表'!$C:$D,2,0)</f>
        <v>1</v>
      </c>
      <c r="O8" s="4">
        <f>VLOOKUP(O27,'!副表'!$C:$D,2,0)</f>
        <v>0</v>
      </c>
      <c r="P8" s="4">
        <f>VLOOKUP(P27,'!副表'!$C:$D,2,0)</f>
        <v>1</v>
      </c>
    </row>
    <row r="9" spans="1:16">
      <c r="A9" s="5">
        <v>6</v>
      </c>
      <c r="B9" s="5" t="s">
        <v>18</v>
      </c>
      <c r="C9" s="4" t="e">
        <f>VLOOKUP(C28,'!副表'!$C:$D,2,0)</f>
        <v>#N/A</v>
      </c>
      <c r="D9" s="4" t="e">
        <f>VLOOKUP(D28,'!副表'!$C:$D,2,0)</f>
        <v>#N/A</v>
      </c>
      <c r="E9" s="4" t="e">
        <f>VLOOKUP(E28,'!副表'!$C:$D,2,0)</f>
        <v>#N/A</v>
      </c>
      <c r="F9" s="4" t="e">
        <f>VLOOKUP(F28,'!副表'!$C:$D,2,0)</f>
        <v>#N/A</v>
      </c>
      <c r="G9" s="4" t="e">
        <f>VLOOKUP(G28,'!副表'!$C:$D,2,0)</f>
        <v>#N/A</v>
      </c>
      <c r="H9" s="4" t="e">
        <f>VLOOKUP(H28,'!副表'!$C:$D,2,0)</f>
        <v>#N/A</v>
      </c>
      <c r="I9" s="4">
        <f>VLOOKUP(I28,'!副表'!$C:$D,2,0)</f>
        <v>0</v>
      </c>
      <c r="J9" s="4">
        <f>VLOOKUP(J28,'!副表'!$C:$D,2,0)</f>
        <v>1</v>
      </c>
      <c r="K9" s="4">
        <f>VLOOKUP(K28,'!副表'!$C:$D,2,0)</f>
        <v>0</v>
      </c>
      <c r="L9" s="4">
        <f>VLOOKUP(L28,'!副表'!$C:$D,2,0)</f>
        <v>1</v>
      </c>
      <c r="M9" s="4">
        <f>VLOOKUP(M28,'!副表'!$C:$D,2,0)</f>
        <v>0</v>
      </c>
      <c r="N9" s="4">
        <f>VLOOKUP(N28,'!副表'!$C:$D,2,0)</f>
        <v>1</v>
      </c>
      <c r="O9" s="4">
        <f>VLOOKUP(O28,'!副表'!$C:$D,2,0)</f>
        <v>1</v>
      </c>
      <c r="P9" s="4">
        <f>VLOOKUP(P28,'!副表'!$C:$D,2,0)</f>
        <v>0</v>
      </c>
    </row>
    <row r="10" spans="1:16">
      <c r="A10" s="5">
        <v>7</v>
      </c>
      <c r="B10" s="5" t="s">
        <v>18</v>
      </c>
      <c r="C10" s="4" t="e">
        <f>VLOOKUP(C29,'!副表'!$C:$D,2,0)</f>
        <v>#N/A</v>
      </c>
      <c r="D10" s="4" t="e">
        <f>VLOOKUP(D29,'!副表'!$C:$D,2,0)</f>
        <v>#N/A</v>
      </c>
      <c r="E10" s="4" t="e">
        <f>VLOOKUP(E29,'!副表'!$C:$D,2,0)</f>
        <v>#N/A</v>
      </c>
      <c r="F10" s="4" t="e">
        <f>VLOOKUP(F29,'!副表'!$C:$D,2,0)</f>
        <v>#N/A</v>
      </c>
      <c r="G10" s="4" t="e">
        <f>VLOOKUP(G29,'!副表'!$C:$D,2,0)</f>
        <v>#N/A</v>
      </c>
      <c r="H10" s="4" t="e">
        <f>VLOOKUP(H29,'!副表'!$C:$D,2,0)</f>
        <v>#N/A</v>
      </c>
      <c r="I10" s="4" t="e">
        <f>VLOOKUP(I29,'!副表'!$C:$D,2,0)</f>
        <v>#N/A</v>
      </c>
      <c r="J10" s="4">
        <f>VLOOKUP(J29,'!副表'!$C:$D,2,0)</f>
        <v>0</v>
      </c>
      <c r="K10" s="4">
        <f>VLOOKUP(K29,'!副表'!$C:$D,2,0)</f>
        <v>0</v>
      </c>
      <c r="L10" s="4">
        <f>VLOOKUP(L29,'!副表'!$C:$D,2,0)</f>
        <v>1</v>
      </c>
      <c r="M10" s="4">
        <f>VLOOKUP(M29,'!副表'!$C:$D,2,0)</f>
        <v>1</v>
      </c>
      <c r="N10" s="4">
        <f>VLOOKUP(N29,'!副表'!$C:$D,2,0)</f>
        <v>1</v>
      </c>
      <c r="O10" s="4">
        <f>VLOOKUP(O29,'!副表'!$C:$D,2,0)</f>
        <v>0</v>
      </c>
      <c r="P10" s="4">
        <f>VLOOKUP(P29,'!副表'!$C:$D,2,0)</f>
        <v>1</v>
      </c>
    </row>
    <row r="11" spans="1:16">
      <c r="A11" s="5">
        <v>8</v>
      </c>
      <c r="B11" s="5" t="s">
        <v>18</v>
      </c>
      <c r="C11" s="4" t="e">
        <f>VLOOKUP(C30,'!副表'!$C:$D,2,0)</f>
        <v>#N/A</v>
      </c>
      <c r="D11" s="4" t="e">
        <f>VLOOKUP(D30,'!副表'!$C:$D,2,0)</f>
        <v>#N/A</v>
      </c>
      <c r="E11" s="4" t="e">
        <f>VLOOKUP(E30,'!副表'!$C:$D,2,0)</f>
        <v>#N/A</v>
      </c>
      <c r="F11" s="4" t="e">
        <f>VLOOKUP(F30,'!副表'!$C:$D,2,0)</f>
        <v>#N/A</v>
      </c>
      <c r="G11" s="4" t="e">
        <f>VLOOKUP(G30,'!副表'!$C:$D,2,0)</f>
        <v>#N/A</v>
      </c>
      <c r="H11" s="4" t="e">
        <f>VLOOKUP(H30,'!副表'!$C:$D,2,0)</f>
        <v>#N/A</v>
      </c>
      <c r="I11" s="4" t="e">
        <f>VLOOKUP(I30,'!副表'!$C:$D,2,0)</f>
        <v>#N/A</v>
      </c>
      <c r="J11" s="4" t="e">
        <f>VLOOKUP(J30,'!副表'!$C:$D,2,0)</f>
        <v>#N/A</v>
      </c>
      <c r="K11" s="4">
        <f>VLOOKUP(K30,'!副表'!$C:$D,2,0)</f>
        <v>0</v>
      </c>
      <c r="L11" s="4">
        <f>VLOOKUP(L30,'!副表'!$C:$D,2,0)</f>
        <v>1</v>
      </c>
      <c r="M11" s="4">
        <f>VLOOKUP(M30,'!副表'!$C:$D,2,0)</f>
        <v>1</v>
      </c>
      <c r="N11" s="4">
        <f>VLOOKUP(N30,'!副表'!$C:$D,2,0)</f>
        <v>1</v>
      </c>
      <c r="O11" s="4">
        <f>VLOOKUP(O30,'!副表'!$C:$D,2,0)</f>
        <v>1</v>
      </c>
      <c r="P11" s="4">
        <f>VLOOKUP(P30,'!副表'!$C:$D,2,0)</f>
        <v>0</v>
      </c>
    </row>
    <row r="12" spans="1:16">
      <c r="A12" s="5">
        <v>9</v>
      </c>
      <c r="B12" s="5" t="s">
        <v>18</v>
      </c>
      <c r="C12" s="4" t="e">
        <f>VLOOKUP(C31,'!副表'!$C:$D,2,0)</f>
        <v>#N/A</v>
      </c>
      <c r="D12" s="4" t="e">
        <f>VLOOKUP(D31,'!副表'!$C:$D,2,0)</f>
        <v>#N/A</v>
      </c>
      <c r="E12" s="4" t="e">
        <f>VLOOKUP(E31,'!副表'!$C:$D,2,0)</f>
        <v>#N/A</v>
      </c>
      <c r="F12" s="4" t="e">
        <f>VLOOKUP(F31,'!副表'!$C:$D,2,0)</f>
        <v>#N/A</v>
      </c>
      <c r="G12" s="4" t="e">
        <f>VLOOKUP(G31,'!副表'!$C:$D,2,0)</f>
        <v>#N/A</v>
      </c>
      <c r="H12" s="4" t="e">
        <f>VLOOKUP(H31,'!副表'!$C:$D,2,0)</f>
        <v>#N/A</v>
      </c>
      <c r="I12" s="4" t="e">
        <f>VLOOKUP(I31,'!副表'!$C:$D,2,0)</f>
        <v>#N/A</v>
      </c>
      <c r="J12" s="4" t="e">
        <f>VLOOKUP(J31,'!副表'!$C:$D,2,0)</f>
        <v>#N/A</v>
      </c>
      <c r="K12" s="4" t="e">
        <f>VLOOKUP(K31,'!副表'!$C:$D,2,0)</f>
        <v>#N/A</v>
      </c>
      <c r="L12" s="4">
        <f>VLOOKUP(L31,'!副表'!$C:$D,2,0)</f>
        <v>0</v>
      </c>
      <c r="M12" s="4">
        <f>VLOOKUP(M31,'!副表'!$C:$D,2,0)</f>
        <v>0</v>
      </c>
      <c r="N12" s="4">
        <f>VLOOKUP(N31,'!副表'!$C:$D,2,0)</f>
        <v>0</v>
      </c>
      <c r="O12" s="4">
        <f>VLOOKUP(O31,'!副表'!$C:$D,2,0)</f>
        <v>0</v>
      </c>
      <c r="P12" s="4">
        <f>VLOOKUP(P31,'!副表'!$C:$D,2,0)</f>
        <v>1</v>
      </c>
    </row>
    <row r="13" spans="1:16">
      <c r="A13" s="5">
        <v>10</v>
      </c>
      <c r="B13" s="5" t="s">
        <v>18</v>
      </c>
      <c r="C13" s="4" t="e">
        <f>VLOOKUP(C32,'!副表'!$C:$D,2,0)</f>
        <v>#N/A</v>
      </c>
      <c r="D13" s="4" t="e">
        <f>VLOOKUP(D32,'!副表'!$C:$D,2,0)</f>
        <v>#N/A</v>
      </c>
      <c r="E13" s="4" t="e">
        <f>VLOOKUP(E32,'!副表'!$C:$D,2,0)</f>
        <v>#N/A</v>
      </c>
      <c r="F13" s="4" t="e">
        <f>VLOOKUP(F32,'!副表'!$C:$D,2,0)</f>
        <v>#N/A</v>
      </c>
      <c r="G13" s="4" t="e">
        <f>VLOOKUP(G32,'!副表'!$C:$D,2,0)</f>
        <v>#N/A</v>
      </c>
      <c r="H13" s="4" t="e">
        <f>VLOOKUP(H32,'!副表'!$C:$D,2,0)</f>
        <v>#N/A</v>
      </c>
      <c r="I13" s="4" t="e">
        <f>VLOOKUP(I32,'!副表'!$C:$D,2,0)</f>
        <v>#N/A</v>
      </c>
      <c r="J13" s="4" t="e">
        <f>VLOOKUP(J32,'!副表'!$C:$D,2,0)</f>
        <v>#N/A</v>
      </c>
      <c r="K13" s="4" t="e">
        <f>VLOOKUP(K32,'!副表'!$C:$D,2,0)</f>
        <v>#N/A</v>
      </c>
      <c r="L13" s="4" t="e">
        <f>VLOOKUP(L32,'!副表'!$C:$D,2,0)</f>
        <v>#N/A</v>
      </c>
      <c r="M13" s="4">
        <f>VLOOKUP(M32,'!副表'!$C:$D,2,0)</f>
        <v>0</v>
      </c>
      <c r="N13" s="4">
        <f>VLOOKUP(N32,'!副表'!$C:$D,2,0)</f>
        <v>0</v>
      </c>
      <c r="O13" s="4">
        <f>VLOOKUP(O32,'!副表'!$C:$D,2,0)</f>
        <v>1</v>
      </c>
      <c r="P13" s="4">
        <f>VLOOKUP(P32,'!副表'!$C:$D,2,0)</f>
        <v>0</v>
      </c>
    </row>
    <row r="14" spans="1:16">
      <c r="A14" s="5">
        <v>11</v>
      </c>
      <c r="B14" s="5" t="s">
        <v>18</v>
      </c>
      <c r="C14" s="4" t="e">
        <f>VLOOKUP(C33,'!副表'!$C:$D,2,0)</f>
        <v>#N/A</v>
      </c>
      <c r="D14" s="4" t="e">
        <f>VLOOKUP(D33,'!副表'!$C:$D,2,0)</f>
        <v>#N/A</v>
      </c>
      <c r="E14" s="4" t="e">
        <f>VLOOKUP(E33,'!副表'!$C:$D,2,0)</f>
        <v>#N/A</v>
      </c>
      <c r="F14" s="4" t="e">
        <f>VLOOKUP(F33,'!副表'!$C:$D,2,0)</f>
        <v>#N/A</v>
      </c>
      <c r="G14" s="4" t="e">
        <f>VLOOKUP(G33,'!副表'!$C:$D,2,0)</f>
        <v>#N/A</v>
      </c>
      <c r="H14" s="4" t="e">
        <f>VLOOKUP(H33,'!副表'!$C:$D,2,0)</f>
        <v>#N/A</v>
      </c>
      <c r="I14" s="4" t="e">
        <f>VLOOKUP(I33,'!副表'!$C:$D,2,0)</f>
        <v>#N/A</v>
      </c>
      <c r="J14" s="4" t="e">
        <f>VLOOKUP(J33,'!副表'!$C:$D,2,0)</f>
        <v>#N/A</v>
      </c>
      <c r="K14" s="4" t="e">
        <f>VLOOKUP(K33,'!副表'!$C:$D,2,0)</f>
        <v>#N/A</v>
      </c>
      <c r="L14" s="4" t="e">
        <f>VLOOKUP(L33,'!副表'!$C:$D,2,0)</f>
        <v>#N/A</v>
      </c>
      <c r="M14" s="4" t="e">
        <f>VLOOKUP(M33,'!副表'!$C:$D,2,0)</f>
        <v>#N/A</v>
      </c>
      <c r="N14" s="4">
        <f>VLOOKUP(N33,'!副表'!$C:$D,2,0)</f>
        <v>0</v>
      </c>
      <c r="O14" s="4">
        <f>VLOOKUP(O33,'!副表'!$C:$D,2,0)</f>
        <v>1</v>
      </c>
      <c r="P14" s="4">
        <f>VLOOKUP(P33,'!副表'!$C:$D,2,0)</f>
        <v>1</v>
      </c>
    </row>
    <row r="15" spans="1:16">
      <c r="A15" s="5">
        <v>12</v>
      </c>
      <c r="B15" s="5" t="s">
        <v>18</v>
      </c>
      <c r="C15" s="4" t="e">
        <f>VLOOKUP(C34,'!副表'!$C:$D,2,0)</f>
        <v>#N/A</v>
      </c>
      <c r="D15" s="4" t="e">
        <f>VLOOKUP(D34,'!副表'!$C:$D,2,0)</f>
        <v>#N/A</v>
      </c>
      <c r="E15" s="4" t="e">
        <f>VLOOKUP(E34,'!副表'!$C:$D,2,0)</f>
        <v>#N/A</v>
      </c>
      <c r="F15" s="4" t="e">
        <f>VLOOKUP(F34,'!副表'!$C:$D,2,0)</f>
        <v>#N/A</v>
      </c>
      <c r="G15" s="4" t="e">
        <f>VLOOKUP(G34,'!副表'!$C:$D,2,0)</f>
        <v>#N/A</v>
      </c>
      <c r="H15" s="4" t="e">
        <f>VLOOKUP(H34,'!副表'!$C:$D,2,0)</f>
        <v>#N/A</v>
      </c>
      <c r="I15" s="4" t="e">
        <f>VLOOKUP(I34,'!副表'!$C:$D,2,0)</f>
        <v>#N/A</v>
      </c>
      <c r="J15" s="4" t="e">
        <f>VLOOKUP(J34,'!副表'!$C:$D,2,0)</f>
        <v>#N/A</v>
      </c>
      <c r="K15" s="4" t="e">
        <f>VLOOKUP(K34,'!副表'!$C:$D,2,0)</f>
        <v>#N/A</v>
      </c>
      <c r="L15" s="4" t="e">
        <f>VLOOKUP(L34,'!副表'!$C:$D,2,0)</f>
        <v>#N/A</v>
      </c>
      <c r="M15" s="4" t="e">
        <f>VLOOKUP(M34,'!副表'!$C:$D,2,0)</f>
        <v>#N/A</v>
      </c>
      <c r="N15" s="4" t="e">
        <f>VLOOKUP(N34,'!副表'!$C:$D,2,0)</f>
        <v>#N/A</v>
      </c>
      <c r="O15" s="4">
        <f>VLOOKUP(O34,'!副表'!$C:$D,2,0)</f>
        <v>0</v>
      </c>
      <c r="P15" s="4">
        <f>VLOOKUP(P34,'!副表'!$C:$D,2,0)</f>
        <v>1</v>
      </c>
    </row>
    <row r="16" spans="1:16">
      <c r="A16" s="5">
        <v>13</v>
      </c>
      <c r="B16" s="5" t="s">
        <v>18</v>
      </c>
      <c r="C16" s="4" t="e">
        <f>VLOOKUP(C35,'!副表'!$C:$D,2,0)</f>
        <v>#N/A</v>
      </c>
      <c r="D16" s="4" t="e">
        <f>VLOOKUP(D35,'!副表'!$C:$D,2,0)</f>
        <v>#N/A</v>
      </c>
      <c r="E16" s="4" t="e">
        <f>VLOOKUP(E35,'!副表'!$C:$D,2,0)</f>
        <v>#N/A</v>
      </c>
      <c r="F16" s="4" t="e">
        <f>VLOOKUP(F35,'!副表'!$C:$D,2,0)</f>
        <v>#N/A</v>
      </c>
      <c r="G16" s="4" t="e">
        <f>VLOOKUP(G35,'!副表'!$C:$D,2,0)</f>
        <v>#N/A</v>
      </c>
      <c r="H16" s="4" t="e">
        <f>VLOOKUP(H35,'!副表'!$C:$D,2,0)</f>
        <v>#N/A</v>
      </c>
      <c r="I16" s="4" t="e">
        <f>VLOOKUP(I35,'!副表'!$C:$D,2,0)</f>
        <v>#N/A</v>
      </c>
      <c r="J16" s="4" t="e">
        <f>VLOOKUP(J35,'!副表'!$C:$D,2,0)</f>
        <v>#N/A</v>
      </c>
      <c r="K16" s="4" t="e">
        <f>VLOOKUP(K35,'!副表'!$C:$D,2,0)</f>
        <v>#N/A</v>
      </c>
      <c r="L16" s="4" t="e">
        <f>VLOOKUP(L35,'!副表'!$C:$D,2,0)</f>
        <v>#N/A</v>
      </c>
      <c r="M16" s="4" t="e">
        <f>VLOOKUP(M35,'!副表'!$C:$D,2,0)</f>
        <v>#N/A</v>
      </c>
      <c r="N16" s="4" t="e">
        <f>VLOOKUP(N35,'!副表'!$C:$D,2,0)</f>
        <v>#N/A</v>
      </c>
      <c r="O16" s="4" t="e">
        <f>VLOOKUP(O35,'!副表'!$C:$D,2,0)</f>
        <v>#N/A</v>
      </c>
      <c r="P16" s="4">
        <f>VLOOKUP(P35,'!副表'!$C:$D,2,0)</f>
        <v>0</v>
      </c>
    </row>
    <row r="17" spans="1:2">
      <c r="A17" s="5">
        <v>14</v>
      </c>
      <c r="B17" s="5"/>
    </row>
    <row r="18" spans="1:1">
      <c r="A18" s="5">
        <v>15</v>
      </c>
    </row>
    <row r="19" spans="1:6">
      <c r="A19" s="5"/>
      <c r="F19" s="5"/>
    </row>
    <row r="20" spans="1:2">
      <c r="A20" s="5"/>
      <c r="B20" s="5"/>
    </row>
    <row r="21" spans="1:20">
      <c r="A21" s="5"/>
      <c r="B21" s="5"/>
      <c r="C21" s="5"/>
      <c r="D21" s="5"/>
      <c r="E21" s="5"/>
      <c r="F21" s="5"/>
      <c r="G21" s="5"/>
      <c r="H21" s="5"/>
      <c r="I21" s="5"/>
      <c r="J21" s="5"/>
      <c r="K21" s="5"/>
      <c r="L21" s="5"/>
      <c r="M21" s="5"/>
      <c r="N21" s="5"/>
      <c r="O21" s="5"/>
      <c r="Q21" s="5"/>
      <c r="R21" s="5"/>
      <c r="S21" s="5"/>
      <c r="T21" s="5"/>
    </row>
    <row r="22" spans="1:16">
      <c r="A22" s="5">
        <v>0</v>
      </c>
      <c r="B22" s="5" t="s">
        <v>4</v>
      </c>
      <c r="C22" s="5" t="s">
        <v>19</v>
      </c>
      <c r="D22" s="5" t="s">
        <v>19</v>
      </c>
      <c r="E22" s="5" t="s">
        <v>19</v>
      </c>
      <c r="F22" s="5" t="s">
        <v>20</v>
      </c>
      <c r="G22" s="5" t="s">
        <v>20</v>
      </c>
      <c r="H22" s="5" t="s">
        <v>20</v>
      </c>
      <c r="I22" s="5" t="s">
        <v>20</v>
      </c>
      <c r="J22" s="5" t="s">
        <v>19</v>
      </c>
      <c r="K22" s="5" t="s">
        <v>19</v>
      </c>
      <c r="L22" s="5" t="s">
        <v>19</v>
      </c>
      <c r="M22" s="5" t="s">
        <v>19</v>
      </c>
      <c r="N22" s="5" t="s">
        <v>19</v>
      </c>
      <c r="O22" s="5" t="s">
        <v>20</v>
      </c>
      <c r="P22" s="5" t="s">
        <v>20</v>
      </c>
    </row>
    <row r="23" spans="1:16">
      <c r="A23" s="5">
        <v>1</v>
      </c>
      <c r="B23" s="5" t="s">
        <v>5</v>
      </c>
      <c r="C23" s="5"/>
      <c r="D23" s="5" t="s">
        <v>19</v>
      </c>
      <c r="E23" s="5" t="s">
        <v>19</v>
      </c>
      <c r="F23" s="5" t="s">
        <v>19</v>
      </c>
      <c r="G23" s="5" t="s">
        <v>20</v>
      </c>
      <c r="H23" s="5" t="s">
        <v>20</v>
      </c>
      <c r="I23" s="5" t="s">
        <v>20</v>
      </c>
      <c r="J23" s="5" t="s">
        <v>19</v>
      </c>
      <c r="K23" s="5" t="s">
        <v>19</v>
      </c>
      <c r="L23" s="5" t="s">
        <v>19</v>
      </c>
      <c r="M23" s="5" t="s">
        <v>19</v>
      </c>
      <c r="N23" s="5" t="s">
        <v>19</v>
      </c>
      <c r="O23" s="5" t="s">
        <v>19</v>
      </c>
      <c r="P23" s="5" t="s">
        <v>19</v>
      </c>
    </row>
    <row r="24" spans="1:16">
      <c r="A24" s="5">
        <v>2</v>
      </c>
      <c r="B24" s="5" t="s">
        <v>6</v>
      </c>
      <c r="C24" s="5"/>
      <c r="D24" s="5"/>
      <c r="E24" s="5" t="s">
        <v>19</v>
      </c>
      <c r="F24" s="5" t="s">
        <v>20</v>
      </c>
      <c r="G24" s="5" t="s">
        <v>19</v>
      </c>
      <c r="H24" s="5" t="s">
        <v>20</v>
      </c>
      <c r="I24" s="5" t="s">
        <v>20</v>
      </c>
      <c r="J24" s="5" t="s">
        <v>19</v>
      </c>
      <c r="K24" s="5" t="s">
        <v>19</v>
      </c>
      <c r="L24" s="5" t="s">
        <v>19</v>
      </c>
      <c r="M24" s="5" t="s">
        <v>19</v>
      </c>
      <c r="N24" s="5" t="s">
        <v>19</v>
      </c>
      <c r="O24" s="5" t="s">
        <v>19</v>
      </c>
      <c r="P24" s="5" t="s">
        <v>19</v>
      </c>
    </row>
    <row r="25" spans="1:16">
      <c r="A25" s="5">
        <v>3</v>
      </c>
      <c r="B25" s="5" t="s">
        <v>7</v>
      </c>
      <c r="C25" s="5"/>
      <c r="D25" s="5"/>
      <c r="E25" s="5"/>
      <c r="F25" s="5" t="s">
        <v>19</v>
      </c>
      <c r="G25" s="5" t="s">
        <v>20</v>
      </c>
      <c r="H25" s="5" t="s">
        <v>19</v>
      </c>
      <c r="I25" s="5" t="s">
        <v>20</v>
      </c>
      <c r="J25" s="5" t="s">
        <v>19</v>
      </c>
      <c r="K25" s="5" t="s">
        <v>20</v>
      </c>
      <c r="L25" s="5" t="s">
        <v>19</v>
      </c>
      <c r="M25" s="5" t="s">
        <v>20</v>
      </c>
      <c r="N25" s="5" t="s">
        <v>20</v>
      </c>
      <c r="O25" s="5" t="s">
        <v>19</v>
      </c>
      <c r="P25" s="5" t="s">
        <v>20</v>
      </c>
    </row>
    <row r="26" spans="1:16">
      <c r="A26" s="5">
        <v>4</v>
      </c>
      <c r="B26" s="5" t="s">
        <v>8</v>
      </c>
      <c r="C26" s="5"/>
      <c r="D26" s="5"/>
      <c r="E26" s="5"/>
      <c r="F26" s="5"/>
      <c r="G26" s="5" t="s">
        <v>19</v>
      </c>
      <c r="H26" s="5" t="s">
        <v>20</v>
      </c>
      <c r="I26" s="5" t="s">
        <v>19</v>
      </c>
      <c r="J26" s="5" t="s">
        <v>20</v>
      </c>
      <c r="K26" s="5" t="s">
        <v>19</v>
      </c>
      <c r="L26" s="5" t="s">
        <v>20</v>
      </c>
      <c r="M26" s="5" t="s">
        <v>19</v>
      </c>
      <c r="N26" s="5" t="s">
        <v>20</v>
      </c>
      <c r="O26" s="5" t="s">
        <v>20</v>
      </c>
      <c r="P26" s="5" t="s">
        <v>19</v>
      </c>
    </row>
    <row r="27" spans="1:18">
      <c r="A27" s="5">
        <v>5</v>
      </c>
      <c r="B27" s="5" t="s">
        <v>9</v>
      </c>
      <c r="C27" s="5"/>
      <c r="D27" s="5"/>
      <c r="E27" s="5"/>
      <c r="F27" s="5"/>
      <c r="G27" s="5"/>
      <c r="H27" s="5" t="s">
        <v>19</v>
      </c>
      <c r="I27" s="5" t="s">
        <v>20</v>
      </c>
      <c r="J27" s="5" t="s">
        <v>19</v>
      </c>
      <c r="K27" s="5" t="s">
        <v>20</v>
      </c>
      <c r="L27" s="5" t="s">
        <v>19</v>
      </c>
      <c r="M27" s="5" t="s">
        <v>20</v>
      </c>
      <c r="N27" s="5" t="s">
        <v>20</v>
      </c>
      <c r="O27" s="5" t="s">
        <v>19</v>
      </c>
      <c r="P27" s="5" t="s">
        <v>20</v>
      </c>
      <c r="R27" s="5"/>
    </row>
    <row r="28" spans="1:16">
      <c r="A28" s="5">
        <v>6</v>
      </c>
      <c r="B28" s="5" t="s">
        <v>10</v>
      </c>
      <c r="C28" s="5"/>
      <c r="D28" s="5"/>
      <c r="E28" s="5"/>
      <c r="F28" s="5"/>
      <c r="G28" s="5"/>
      <c r="H28" s="5"/>
      <c r="I28" s="5" t="s">
        <v>19</v>
      </c>
      <c r="J28" s="5" t="s">
        <v>20</v>
      </c>
      <c r="K28" s="5" t="s">
        <v>19</v>
      </c>
      <c r="L28" s="5" t="s">
        <v>20</v>
      </c>
      <c r="M28" s="5" t="s">
        <v>19</v>
      </c>
      <c r="N28" s="5" t="s">
        <v>20</v>
      </c>
      <c r="O28" s="5" t="s">
        <v>20</v>
      </c>
      <c r="P28" s="5" t="s">
        <v>19</v>
      </c>
    </row>
    <row r="29" spans="1:17">
      <c r="A29" s="5">
        <v>7</v>
      </c>
      <c r="B29" s="5" t="s">
        <v>11</v>
      </c>
      <c r="C29" s="5"/>
      <c r="D29" s="5"/>
      <c r="E29" s="5"/>
      <c r="F29" s="5"/>
      <c r="G29" s="5"/>
      <c r="H29" s="5"/>
      <c r="I29" s="5"/>
      <c r="J29" s="5" t="s">
        <v>19</v>
      </c>
      <c r="K29" s="5" t="s">
        <v>19</v>
      </c>
      <c r="L29" s="5" t="s">
        <v>20</v>
      </c>
      <c r="M29" s="5" t="s">
        <v>20</v>
      </c>
      <c r="N29" s="5" t="s">
        <v>20</v>
      </c>
      <c r="O29" s="5" t="s">
        <v>19</v>
      </c>
      <c r="P29" s="5" t="s">
        <v>20</v>
      </c>
      <c r="Q29" s="5"/>
    </row>
    <row r="30" spans="1:16">
      <c r="A30" s="5">
        <v>8</v>
      </c>
      <c r="B30" s="5" t="s">
        <v>12</v>
      </c>
      <c r="C30" s="5"/>
      <c r="D30" s="5"/>
      <c r="E30" s="5"/>
      <c r="F30" s="5"/>
      <c r="G30" s="5"/>
      <c r="H30" s="5"/>
      <c r="I30" s="5"/>
      <c r="J30" s="5"/>
      <c r="K30" s="5" t="s">
        <v>19</v>
      </c>
      <c r="L30" s="5" t="s">
        <v>20</v>
      </c>
      <c r="M30" s="5" t="s">
        <v>20</v>
      </c>
      <c r="N30" s="5" t="s">
        <v>20</v>
      </c>
      <c r="O30" s="5" t="s">
        <v>20</v>
      </c>
      <c r="P30" s="5" t="s">
        <v>19</v>
      </c>
    </row>
    <row r="31" spans="1:16">
      <c r="A31" s="5">
        <v>9</v>
      </c>
      <c r="B31" s="5" t="s">
        <v>13</v>
      </c>
      <c r="C31" s="5"/>
      <c r="D31" s="5"/>
      <c r="E31" s="5"/>
      <c r="F31" s="5"/>
      <c r="G31" s="5"/>
      <c r="H31" s="5"/>
      <c r="I31" s="5"/>
      <c r="J31" s="5"/>
      <c r="K31" s="5"/>
      <c r="L31" s="5" t="s">
        <v>19</v>
      </c>
      <c r="M31" s="5" t="s">
        <v>19</v>
      </c>
      <c r="N31" s="5" t="s">
        <v>19</v>
      </c>
      <c r="O31" s="5" t="s">
        <v>19</v>
      </c>
      <c r="P31" s="5" t="s">
        <v>20</v>
      </c>
    </row>
    <row r="32" spans="1:16">
      <c r="A32" s="5">
        <v>10</v>
      </c>
      <c r="B32" s="5" t="s">
        <v>14</v>
      </c>
      <c r="C32" s="5"/>
      <c r="D32" s="5"/>
      <c r="E32" s="5"/>
      <c r="F32" s="5"/>
      <c r="G32" s="5"/>
      <c r="H32" s="5"/>
      <c r="I32" s="5"/>
      <c r="J32" s="5"/>
      <c r="K32" s="5"/>
      <c r="L32" s="5"/>
      <c r="M32" s="5" t="s">
        <v>19</v>
      </c>
      <c r="N32" s="5" t="s">
        <v>19</v>
      </c>
      <c r="O32" s="5" t="s">
        <v>20</v>
      </c>
      <c r="P32" s="5" t="s">
        <v>19</v>
      </c>
    </row>
    <row r="33" spans="1:16">
      <c r="A33" s="5">
        <v>11</v>
      </c>
      <c r="B33" s="5" t="s">
        <v>15</v>
      </c>
      <c r="C33" s="5"/>
      <c r="D33" s="5"/>
      <c r="E33" s="5"/>
      <c r="F33" s="5"/>
      <c r="G33" s="5"/>
      <c r="H33" s="5"/>
      <c r="I33" s="5"/>
      <c r="J33" s="5"/>
      <c r="K33" s="5"/>
      <c r="L33" s="5"/>
      <c r="M33" s="5"/>
      <c r="N33" s="5" t="s">
        <v>19</v>
      </c>
      <c r="O33" s="5" t="s">
        <v>20</v>
      </c>
      <c r="P33" s="5" t="s">
        <v>20</v>
      </c>
    </row>
    <row r="34" spans="1:16">
      <c r="A34" s="5">
        <v>12</v>
      </c>
      <c r="B34" s="4" t="s">
        <v>16</v>
      </c>
      <c r="C34" s="5"/>
      <c r="D34" s="5"/>
      <c r="E34" s="5"/>
      <c r="F34" s="5"/>
      <c r="G34" s="5"/>
      <c r="H34" s="5"/>
      <c r="I34" s="5"/>
      <c r="J34" s="5"/>
      <c r="K34" s="5"/>
      <c r="L34" s="5"/>
      <c r="M34" s="5"/>
      <c r="N34" s="5"/>
      <c r="O34" s="5" t="s">
        <v>19</v>
      </c>
      <c r="P34" s="5" t="s">
        <v>20</v>
      </c>
    </row>
    <row r="35" spans="1:16">
      <c r="A35" s="5">
        <v>13</v>
      </c>
      <c r="B35" s="4" t="s">
        <v>17</v>
      </c>
      <c r="P35" s="5" t="s">
        <v>19</v>
      </c>
    </row>
    <row r="36" spans="1:10">
      <c r="A36" s="5">
        <v>14</v>
      </c>
      <c r="C36" s="5"/>
      <c r="D36" s="5"/>
      <c r="E36" s="5"/>
      <c r="F36" s="5"/>
      <c r="G36" s="5"/>
      <c r="H36" s="5"/>
      <c r="I36" s="5"/>
      <c r="J36" s="5"/>
    </row>
    <row r="37" spans="1:8">
      <c r="A37" s="5"/>
      <c r="C37" s="5"/>
      <c r="D37" s="5"/>
      <c r="E37" s="5"/>
      <c r="F37" s="5"/>
      <c r="G37" s="5"/>
      <c r="H37" s="5"/>
    </row>
    <row r="38" spans="1:6">
      <c r="A38" s="5"/>
      <c r="C38" s="5"/>
      <c r="D38" s="5"/>
      <c r="E38" s="5"/>
      <c r="F38" s="5"/>
    </row>
    <row r="39" spans="1:4">
      <c r="A39" s="5"/>
      <c r="C39" s="5"/>
      <c r="D39" s="5"/>
    </row>
  </sheetData>
  <conditionalFormatting sqref="J23:P23">
    <cfRule type="cellIs" dxfId="0" priority="7" operator="equal">
      <formula>"假"</formula>
    </cfRule>
    <cfRule type="cellIs" dxfId="1" priority="8" operator="equal">
      <formula>"真"</formula>
    </cfRule>
  </conditionalFormatting>
  <conditionalFormatting sqref="J24:P24">
    <cfRule type="cellIs" dxfId="0" priority="5" operator="equal">
      <formula>"假"</formula>
    </cfRule>
    <cfRule type="cellIs" dxfId="1" priority="6" operator="equal">
      <formula>"真"</formula>
    </cfRule>
  </conditionalFormatting>
  <conditionalFormatting sqref="J25:P25">
    <cfRule type="cellIs" dxfId="0" priority="3" operator="equal">
      <formula>"假"</formula>
    </cfRule>
    <cfRule type="cellIs" dxfId="1" priority="4" operator="equal">
      <formula>"真"</formula>
    </cfRule>
  </conditionalFormatting>
  <conditionalFormatting sqref="J26:P26">
    <cfRule type="cellIs" dxfId="0" priority="1" operator="equal">
      <formula>"假"</formula>
    </cfRule>
    <cfRule type="cellIs" dxfId="1" priority="2" operator="equal">
      <formula>"真"</formula>
    </cfRule>
  </conditionalFormatting>
  <conditionalFormatting sqref="F31">
    <cfRule type="cellIs" dxfId="0" priority="11" operator="equal">
      <formula>"假"</formula>
    </cfRule>
    <cfRule type="cellIs" dxfId="1" priority="12" operator="equal">
      <formula>"真"</formula>
    </cfRule>
  </conditionalFormatting>
  <conditionalFormatting sqref="D31:D32">
    <cfRule type="cellIs" dxfId="0" priority="15" operator="equal">
      <formula>"假"</formula>
    </cfRule>
    <cfRule type="cellIs" dxfId="1" priority="16" operator="equal">
      <formula>"真"</formula>
    </cfRule>
  </conditionalFormatting>
  <conditionalFormatting sqref="C22:C30 D22:E29 F22:G28 H22:I27">
    <cfRule type="cellIs" dxfId="0" priority="41" operator="equal">
      <formula>"假"</formula>
    </cfRule>
    <cfRule type="cellIs" dxfId="1" priority="42" operator="equal">
      <formula>"真"</formula>
    </cfRule>
  </conditionalFormatting>
  <conditionalFormatting sqref="J22:P22 N33:P33 O34:P34 P35">
    <cfRule type="cellIs" dxfId="0" priority="9" operator="equal">
      <formula>"假"</formula>
    </cfRule>
    <cfRule type="cellIs" dxfId="1" priority="10" operator="equal">
      <formula>"真"</formula>
    </cfRule>
  </conditionalFormatting>
  <conditionalFormatting sqref="R27 J27:P27">
    <cfRule type="cellIs" dxfId="0" priority="23" operator="equal">
      <formula>"假"</formula>
    </cfRule>
    <cfRule type="cellIs" dxfId="1" priority="24" operator="equal">
      <formula>"真"</formula>
    </cfRule>
  </conditionalFormatting>
  <conditionalFormatting sqref="F29:G30 H28:I29 D30:E30 C31">
    <cfRule type="cellIs" dxfId="0" priority="27" operator="equal">
      <formula>"假"</formula>
    </cfRule>
    <cfRule type="cellIs" dxfId="1" priority="28" operator="equal">
      <formula>"真"</formula>
    </cfRule>
  </conditionalFormatting>
  <conditionalFormatting sqref="Q29 J28:P28">
    <cfRule type="cellIs" dxfId="0" priority="21" operator="equal">
      <formula>"假"</formula>
    </cfRule>
    <cfRule type="cellIs" dxfId="1" priority="22" operator="equal">
      <formula>"真"</formula>
    </cfRule>
  </conditionalFormatting>
  <conditionalFormatting sqref="J29:O30 M32:P32 L31:O31 P29:P31">
    <cfRule type="cellIs" dxfId="0" priority="19" operator="equal">
      <formula>"假"</formula>
    </cfRule>
    <cfRule type="cellIs" dxfId="1" priority="20" operator="equal">
      <formula>"真"</formula>
    </cfRule>
  </conditionalFormatting>
  <conditionalFormatting sqref="H30:I30 E31:E32 C32:C33 G31">
    <cfRule type="cellIs" dxfId="0" priority="25" operator="equal">
      <formula>"假"</formula>
    </cfRule>
    <cfRule type="cellIs" dxfId="1" priority="26" operator="equal">
      <formula>"真"</formula>
    </cfRule>
  </conditionalFormatting>
  <dataValidations count="2">
    <dataValidation type="list" allowBlank="1" showInputMessage="1" showErrorMessage="1" sqref="B20 B1:B2 B3:B5 B6:B7 B8:B9 B10:B11 B12:B14 B15:B17">
      <formula1>'!副表'!$A$1:$A$6</formula1>
    </dataValidation>
    <dataValidation type="list" allowBlank="1" showInputMessage="1" showErrorMessage="1" sqref="C22 D22 E22 F22 G22 H22 I22 J22 K22 L22 M22 C23 D23 E23 F23 G23 H23 I23 C24 D24 E24 F24 G24 H24 I24 C25 D25 E25 F25 G25 H25 I25 C26 D26 E26 F26 G26 H26 I26 C27 D27 E27 F27 G27 H27:I27 R27 C28 D28 E28 F28:G28 C29 D29 E29 J29 K29 Q29 C30 D30:E30 H30 I30 J30 K30 C31 F31 G31 L31 N33 O33:P33 O34 C32:C33 D31:D32 E31:E32 J23:J24 J25:J26 J27:J28 K23:K24 K25:K26 K27:K28 L23:L24 L25:L26 L27:L28 L29:L30 M23:M24 M25:M26 M27:M28 M29:M30 M31:M32 P34:P35 F29:G30 H28:I29 N22:P32">
      <formula1>'!副表'!$C$1:$C$3</formula1>
    </dataValidation>
  </dataValidations>
  <pageMargins left="0.699305555555556" right="0.699305555555556"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workbookViewId="0">
      <selection activeCell="D1" sqref="D1"/>
    </sheetView>
  </sheetViews>
  <sheetFormatPr defaultColWidth="9" defaultRowHeight="17.4" outlineLevelRow="5" outlineLevelCol="3"/>
  <cols>
    <col min="1" max="1" width="9" style="1"/>
    <col min="2" max="2" width="9" style="2"/>
    <col min="3" max="4" width="9" style="3"/>
    <col min="5" max="16384" width="9" style="2"/>
  </cols>
  <sheetData>
    <row r="1" spans="1:4">
      <c r="A1" s="3" t="s">
        <v>21</v>
      </c>
      <c r="C1" s="3" t="s">
        <v>22</v>
      </c>
      <c r="D1" s="3">
        <v>0</v>
      </c>
    </row>
    <row r="2" spans="1:4">
      <c r="A2" s="3" t="s">
        <v>3</v>
      </c>
      <c r="C2" s="3" t="s">
        <v>19</v>
      </c>
      <c r="D2" s="3">
        <v>0</v>
      </c>
    </row>
    <row r="3" spans="1:4">
      <c r="A3" s="3" t="s">
        <v>23</v>
      </c>
      <c r="C3" s="3" t="s">
        <v>20</v>
      </c>
      <c r="D3" s="3">
        <v>1</v>
      </c>
    </row>
    <row r="4" spans="1:1">
      <c r="A4" s="3" t="s">
        <v>18</v>
      </c>
    </row>
    <row r="5" spans="1:1">
      <c r="A5" s="3" t="s">
        <v>24</v>
      </c>
    </row>
    <row r="6" spans="1:1">
      <c r="A6" s="3" t="s">
        <v>1</v>
      </c>
    </row>
  </sheetData>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mg_200_object_layer</vt:lpstr>
      <vt:lpstr>!数据编辑</vt:lpstr>
      <vt:lpstr>!副表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2006-09-16T00:00:00Z</dcterms:created>
  <dcterms:modified xsi:type="dcterms:W3CDTF">2024-08-09T18:11:27Z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2052-12.1.0.17147</vt:lpwstr>
  </property>
  <property fmtid="{D5CDD505-2E9C-101B-9397-08002B2CF9AE}" pid="3" name="ICV">
    <vt:lpwstr>DDFEF62E35724C5F9FBB27313B2C34E7</vt:lpwstr>
  </property>
</Properties>
</file>