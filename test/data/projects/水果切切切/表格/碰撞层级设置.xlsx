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mg_200_object_layer" sheetId="1" r:id="rId1"/>
    <sheet name="!数据编辑" sheetId="2" r:id="rId2"/>
    <sheet name="!副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<sst xmlns="http://schemas.openxmlformats.org/spreadsheetml/2006/main" count="217" uniqueCount="31">
  <si>
    <t>id</t>
  </si>
  <si>
    <t>long</t>
  </si>
  <si>
    <t>层类型</t>
  </si>
  <si>
    <t>string</t>
  </si>
  <si>
    <t>有碰撞场景</t>
  </si>
  <si>
    <t>攻方传送带</t>
  </si>
  <si>
    <t>守方子弹探测器</t>
  </si>
  <si>
    <t>守方炮塔碰撞体</t>
  </si>
  <si>
    <t>守方碰撞箱</t>
  </si>
  <si>
    <t>攻方炮塔</t>
  </si>
  <si>
    <t>守方炮塔本体</t>
  </si>
  <si>
    <t>攻方子弹</t>
  </si>
  <si>
    <t>守方子弹</t>
  </si>
  <si>
    <t>传送带空气墙</t>
  </si>
  <si>
    <t>地图空气墙</t>
  </si>
  <si>
    <t>守方前墙和底板</t>
  </si>
  <si>
    <t>攻方后墙防水果</t>
  </si>
  <si>
    <t>攻方后墙防子弹</t>
  </si>
  <si>
    <t>滚筒探测器</t>
  </si>
  <si>
    <t>飞刀</t>
  </si>
  <si>
    <t>普通子弹</t>
  </si>
  <si>
    <t>bool</t>
  </si>
  <si>
    <t>假</t>
  </si>
  <si>
    <t>真</t>
  </si>
  <si>
    <t>攻方后墙(物理)防水果</t>
  </si>
  <si>
    <t>攻方后墙(探测器)防子弹</t>
  </si>
  <si>
    <t>飞刀模型</t>
  </si>
  <si>
    <t>float</t>
  </si>
  <si>
    <t>空</t>
  </si>
  <si>
    <t>vector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</si>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</sst>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 tint="-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theme="5" tint="0.599963377788629"/>
        </patternFill>
      </fill>
    </dxf>
    <dxf>
      <font>
        <b val="1"/>
        <i val="0"/>
      </font>
      <fill>
        <patternFill patternType="solid">
          <bgColor theme="8" tint="0.39994506668294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F7" sqref="F7"/>
    </sheetView>
  </sheetViews>
  <sheetFormatPr defaultColWidth="9" defaultRowHeight="17.4"/>
  <cols>
    <col min="1" max="1" width="9.62962962962963" style="3" customWidth="1"/>
    <col min="2" max="2" width="17.6296296296296" style="3" customWidth="1"/>
    <col min="3" max="11" width="9.62962962962963" style="3" customWidth="1"/>
    <col min="12" max="16384" width="9" style="3"/>
  </cols>
  <sheetData>
    <row r="1" spans="1:19">
      <c r="A1" s="3" t="str">
        <f ca="1">A2</f>
        <v>id</v>
      </c>
      <c r="B1" s="3" t="str">
        <f ca="1" t="shared" ref="B1:M1" si="0">B2</f>
        <v>层类型</v>
      </c>
      <c r="C1" s="3">
        <f ca="1" t="shared" si="0"/>
        <v>0</v>
      </c>
      <c r="D1" s="3">
        <f ca="1" t="shared" si="0"/>
        <v>1</v>
      </c>
      <c r="E1" s="3">
        <f ca="1" t="shared" si="0"/>
        <v>2</v>
      </c>
      <c r="F1" s="3">
        <f ca="1" t="shared" si="0"/>
        <v>3</v>
      </c>
      <c r="G1" s="3">
        <f ca="1" t="shared" si="0"/>
        <v>4</v>
      </c>
      <c r="H1" s="3">
        <f ca="1" t="shared" si="0"/>
        <v>5</v>
      </c>
      <c r="I1" s="3">
        <f ca="1" t="shared" si="0"/>
        <v>6</v>
      </c>
      <c r="J1" s="3">
        <f ca="1" t="shared" si="0"/>
        <v>7</v>
      </c>
      <c r="K1" s="3">
        <f ca="1" t="shared" si="0"/>
        <v>8</v>
      </c>
      <c r="L1" s="3">
        <f ca="1" t="shared" si="0"/>
        <v>9</v>
      </c>
      <c r="M1" s="3">
        <f ca="1" t="shared" si="0"/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</row>
    <row r="2" spans="1:19">
      <c r="A2" s="3" t="str">
        <f ca="1">OFFSET('!数据编辑'!$A$1,COLUMN(A2)-1,ROW(A2)-2)</f>
        <v>id</v>
      </c>
      <c r="B2" s="3" t="str">
        <f ca="1">OFFSET('!数据编辑'!$A$1,COLUMN(B2)-1,ROW(B2)-2)</f>
        <v>层类型</v>
      </c>
      <c r="C2" s="3">
        <f ca="1">OFFSET('!数据编辑'!$A$1,COLUMN(C2)-1,ROW(C2)-2)</f>
        <v>0</v>
      </c>
      <c r="D2" s="3">
        <f ca="1">OFFSET('!数据编辑'!$A$1,COLUMN(D2)-1,ROW(D2)-2)</f>
        <v>1</v>
      </c>
      <c r="E2" s="3">
        <f ca="1">OFFSET('!数据编辑'!$A$1,COLUMN(E2)-1,ROW(E2)-2)</f>
        <v>2</v>
      </c>
      <c r="F2" s="3">
        <f ca="1">OFFSET('!数据编辑'!$A$1,COLUMN(F2)-1,ROW(F2)-2)</f>
        <v>3</v>
      </c>
      <c r="G2" s="3">
        <f ca="1">OFFSET('!数据编辑'!$A$1,COLUMN(G2)-1,ROW(G2)-2)</f>
        <v>4</v>
      </c>
      <c r="H2" s="3">
        <f ca="1">OFFSET('!数据编辑'!$A$1,COLUMN(H2)-1,ROW(H2)-2)</f>
        <v>5</v>
      </c>
      <c r="I2" s="3">
        <f ca="1">OFFSET('!数据编辑'!$A$1,COLUMN(I2)-1,ROW(I2)-2)</f>
        <v>6</v>
      </c>
      <c r="J2" s="3">
        <f ca="1">OFFSET('!数据编辑'!$A$1,COLUMN(J2)-1,ROW(J2)-2)</f>
        <v>7</v>
      </c>
      <c r="K2" s="3">
        <f ca="1">OFFSET('!数据编辑'!$A$1,COLUMN(K2)-1,ROW(K2)-2)</f>
        <v>8</v>
      </c>
      <c r="L2" s="3">
        <f ca="1">OFFSET('!数据编辑'!$A$1,COLUMN(L2)-1,ROW(L2)-2)</f>
        <v>9</v>
      </c>
      <c r="M2" s="3">
        <f ca="1">OFFSET('!数据编辑'!$A$1,COLUMN(M2)-1,ROW(M2)-2)</f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</row>
    <row r="3" spans="1:19">
      <c r="A3" s="3" t="str">
        <f ca="1">OFFSET('!数据编辑'!$A$1,COLUMN(A3)-1,ROW(A3)-2)</f>
        <v>long</v>
      </c>
      <c r="B3" s="3" t="str">
        <f ca="1">OFFSET('!数据编辑'!$A$1,COLUMN(B3)-1,ROW(B3)-2)</f>
        <v>string</v>
      </c>
      <c r="C3" s="3" t="str">
        <f ca="1">OFFSET('!数据编辑'!$A$1,COLUMN(C3)-1,ROW(C3)-2)</f>
        <v>bool</v>
      </c>
      <c r="D3" s="3" t="str">
        <f ca="1">OFFSET('!数据编辑'!$A$1,COLUMN(D3)-1,ROW(D3)-2)</f>
        <v>bool</v>
      </c>
      <c r="E3" s="3" t="str">
        <f ca="1">OFFSET('!数据编辑'!$A$1,COLUMN(E3)-1,ROW(E3)-2)</f>
        <v>bool</v>
      </c>
      <c r="F3" s="3" t="str">
        <f ca="1">OFFSET('!数据编辑'!$A$1,COLUMN(F3)-1,ROW(F3)-2)</f>
        <v>bool</v>
      </c>
      <c r="G3" s="3" t="str">
        <f ca="1">OFFSET('!数据编辑'!$A$1,COLUMN(G3)-1,ROW(G3)-2)</f>
        <v>bool</v>
      </c>
      <c r="H3" s="3" t="str">
        <f ca="1">OFFSET('!数据编辑'!$A$1,COLUMN(H3)-1,ROW(H3)-2)</f>
        <v>bool</v>
      </c>
      <c r="I3" s="3" t="str">
        <f ca="1">OFFSET('!数据编辑'!$A$1,COLUMN(I3)-1,ROW(I3)-2)</f>
        <v>bool</v>
      </c>
      <c r="J3" s="3" t="str">
        <f ca="1">OFFSET('!数据编辑'!$A$1,COLUMN(J3)-1,ROW(J3)-2)</f>
        <v>bool</v>
      </c>
      <c r="K3" s="3" t="str">
        <f ca="1">OFFSET('!数据编辑'!$A$1,COLUMN(K3)-1,ROW(K3)-2)</f>
        <v>bool</v>
      </c>
      <c r="L3" s="3" t="str">
        <f ca="1">OFFSET('!数据编辑'!$A$1,COLUMN(L3)-1,ROW(L3)-2)</f>
        <v>bool</v>
      </c>
      <c r="M3" s="3" t="str">
        <f ca="1">OFFSET('!数据编辑'!$A$1,COLUMN(M3)-1,ROW(M3)-2)</f>
        <v>bool</v>
      </c>
      <c r="N3" s="3" t="str">
        <f ca="1">OFFSET('!数据编辑'!$A$1,COLUMN(N3)-1,ROW(N3)-2)</f>
        <v>bool</v>
      </c>
      <c r="O3" s="3" t="str">
        <f ca="1">OFFSET('!数据编辑'!$A$1,COLUMN(O3)-1,ROW(O3)-2)</f>
        <v>bool</v>
      </c>
      <c r="P3" s="3" t="str">
        <f ca="1">OFFSET('!数据编辑'!$A$1,COLUMN(P3)-1,ROW(P3)-2)</f>
        <v>bool</v>
      </c>
      <c r="Q3" s="3" t="str">
        <f ca="1">OFFSET('!数据编辑'!$A$1,COLUMN(Q3)-1,ROW(Q3)-2)</f>
        <v>bool</v>
      </c>
      <c r="R3" s="3" t="str">
        <f ca="1">OFFSET('!数据编辑'!$A$1,COLUMN(R3)-1,ROW(R3)-2)</f>
        <v>bool</v>
      </c>
      <c r="S3" s="3" t="str">
        <f ca="1">OFFSET('!数据编辑'!$A$1,COLUMN(S3)-1,ROW(S3)-2)</f>
        <v>bool</v>
      </c>
    </row>
    <row r="4" spans="1:19">
      <c r="A4" s="3">
        <f ca="1">OFFSET('!数据编辑'!$A$1,COLUMN(A4)-1,ROW(A4)-2)</f>
        <v>0</v>
      </c>
      <c r="B4" s="3" t="str">
        <f ca="1">OFFSET('!数据编辑'!$A$1,COLUMN(B4)-1,ROW(B4)-2)</f>
        <v>有碰撞场景</v>
      </c>
      <c r="C4" s="3">
        <f ca="1">OFFSET('!数据编辑'!$A$1,COLUMN(C4)-1,ROW(C4)-2)</f>
        <v>0</v>
      </c>
      <c r="D4" s="6" t="e">
        <f ca="1">OFFSET('!数据编辑'!$A$1,COLUMN(D4)-1,ROW(D4)-2)</f>
        <v>#N/A</v>
      </c>
      <c r="E4" s="6" t="e">
        <f ca="1">OFFSET('!数据编辑'!$A$1,COLUMN(E4)-1,ROW(E4)-2)</f>
        <v>#N/A</v>
      </c>
      <c r="F4" s="6" t="e">
        <f ca="1">OFFSET('!数据编辑'!$A$1,COLUMN(F4)-1,ROW(F4)-2)</f>
        <v>#N/A</v>
      </c>
      <c r="G4" s="6" t="e">
        <f ca="1">OFFSET('!数据编辑'!$A$1,COLUMN(G4)-1,ROW(G4)-2)</f>
        <v>#N/A</v>
      </c>
      <c r="H4" s="6" t="e">
        <f ca="1">OFFSET('!数据编辑'!$A$1,COLUMN(H4)-1,ROW(H4)-2)</f>
        <v>#N/A</v>
      </c>
      <c r="I4" s="6" t="e">
        <f ca="1">OFFSET('!数据编辑'!$A$1,COLUMN(I4)-1,ROW(I4)-2)</f>
        <v>#N/A</v>
      </c>
      <c r="J4" s="6" t="e">
        <f ca="1">OFFSET('!数据编辑'!$A$1,COLUMN(J4)-1,ROW(J4)-2)</f>
        <v>#N/A</v>
      </c>
      <c r="K4" s="6" t="e">
        <f ca="1">OFFSET('!数据编辑'!$A$1,COLUMN(K4)-1,ROW(K4)-2)</f>
        <v>#N/A</v>
      </c>
      <c r="L4" s="6" t="e">
        <f ca="1">OFFSET('!数据编辑'!$A$1,COLUMN(L4)-1,ROW(L4)-2)</f>
        <v>#N/A</v>
      </c>
      <c r="M4" s="6" t="e">
        <f ca="1">OFFSET('!数据编辑'!$A$1,COLUMN(M4)-1,ROW(M4)-2)</f>
        <v>#N/A</v>
      </c>
      <c r="N4" s="6" t="e">
        <f ca="1">OFFSET('!数据编辑'!$A$1,COLUMN(N4)-1,ROW(N4)-2)</f>
        <v>#N/A</v>
      </c>
      <c r="O4" s="6" t="e">
        <f ca="1">OFFSET('!数据编辑'!$A$1,COLUMN(O4)-1,ROW(O4)-2)</f>
        <v>#N/A</v>
      </c>
      <c r="P4" s="6" t="e">
        <f ca="1">OFFSET('!数据编辑'!$A$1,COLUMN(P4)-1,ROW(P4)-2)</f>
        <v>#N/A</v>
      </c>
      <c r="Q4" s="6" t="e">
        <f ca="1">OFFSET('!数据编辑'!$A$1,COLUMN(Q4)-1,ROW(Q4)-2)</f>
        <v>#N/A</v>
      </c>
      <c r="R4" s="6" t="e">
        <f ca="1">OFFSET('!数据编辑'!$A$1,COLUMN(R4)-1,ROW(R4)-2)</f>
        <v>#N/A</v>
      </c>
      <c r="S4" s="6" t="e">
        <f ca="1">OFFSET('!数据编辑'!$A$1,COLUMN(S4)-1,ROW(S4)-2)</f>
        <v>#N/A</v>
      </c>
    </row>
    <row r="5" spans="1:19">
      <c r="A5" s="3">
        <f ca="1">OFFSET('!数据编辑'!$A$1,COLUMN(A5)-1,ROW(A5)-2)</f>
        <v>1</v>
      </c>
      <c r="B5" s="3" t="str">
        <f ca="1">OFFSET('!数据编辑'!$A$1,COLUMN(B5)-1,ROW(B5)-2)</f>
        <v>攻方传送带</v>
      </c>
      <c r="C5" s="3">
        <f ca="1">OFFSET('!数据编辑'!$A$1,COLUMN(C5)-1,ROW(C5)-2)</f>
        <v>0</v>
      </c>
      <c r="D5" s="3">
        <f ca="1">OFFSET('!数据编辑'!$A$1,COLUMN(D5)-1,ROW(D5)-2)</f>
        <v>0</v>
      </c>
      <c r="E5" s="6" t="e">
        <f ca="1">OFFSET('!数据编辑'!$A$1,COLUMN(E5)-1,ROW(E5)-2)</f>
        <v>#N/A</v>
      </c>
      <c r="F5" s="6" t="e">
        <f ca="1">OFFSET('!数据编辑'!$A$1,COLUMN(F5)-1,ROW(F5)-2)</f>
        <v>#N/A</v>
      </c>
      <c r="G5" s="6" t="e">
        <f ca="1">OFFSET('!数据编辑'!$A$1,COLUMN(G5)-1,ROW(G5)-2)</f>
        <v>#N/A</v>
      </c>
      <c r="H5" s="6" t="e">
        <f ca="1">OFFSET('!数据编辑'!$A$1,COLUMN(H5)-1,ROW(H5)-2)</f>
        <v>#N/A</v>
      </c>
      <c r="I5" s="6" t="e">
        <f ca="1">OFFSET('!数据编辑'!$A$1,COLUMN(I5)-1,ROW(I5)-2)</f>
        <v>#N/A</v>
      </c>
      <c r="J5" s="6" t="e">
        <f ca="1">OFFSET('!数据编辑'!$A$1,COLUMN(J5)-1,ROW(J5)-2)</f>
        <v>#N/A</v>
      </c>
      <c r="K5" s="6" t="e">
        <f ca="1">OFFSET('!数据编辑'!$A$1,COLUMN(K5)-1,ROW(K5)-2)</f>
        <v>#N/A</v>
      </c>
      <c r="L5" s="6" t="e">
        <f ca="1">OFFSET('!数据编辑'!$A$1,COLUMN(L5)-1,ROW(L5)-2)</f>
        <v>#N/A</v>
      </c>
      <c r="M5" s="6" t="e">
        <f ca="1">OFFSET('!数据编辑'!$A$1,COLUMN(M5)-1,ROW(M5)-2)</f>
        <v>#N/A</v>
      </c>
      <c r="N5" s="6" t="e">
        <f ca="1">OFFSET('!数据编辑'!$A$1,COLUMN(N5)-1,ROW(N5)-2)</f>
        <v>#N/A</v>
      </c>
      <c r="O5" s="6" t="e">
        <f ca="1">OFFSET('!数据编辑'!$A$1,COLUMN(O5)-1,ROW(O5)-2)</f>
        <v>#N/A</v>
      </c>
      <c r="P5" s="6" t="e">
        <f ca="1">OFFSET('!数据编辑'!$A$1,COLUMN(P5)-1,ROW(P5)-2)</f>
        <v>#N/A</v>
      </c>
      <c r="Q5" s="6" t="e">
        <f ca="1">OFFSET('!数据编辑'!$A$1,COLUMN(Q5)-1,ROW(Q5)-2)</f>
        <v>#N/A</v>
      </c>
      <c r="R5" s="6" t="e">
        <f ca="1">OFFSET('!数据编辑'!$A$1,COLUMN(R5)-1,ROW(R5)-2)</f>
        <v>#N/A</v>
      </c>
      <c r="S5" s="6" t="e">
        <f ca="1">OFFSET('!数据编辑'!$A$1,COLUMN(S5)-1,ROW(S5)-2)</f>
        <v>#N/A</v>
      </c>
    </row>
    <row r="6" spans="1:19">
      <c r="A6" s="3">
        <f ca="1">OFFSET('!数据编辑'!$A$1,COLUMN(A6)-1,ROW(A6)-2)</f>
        <v>2</v>
      </c>
      <c r="B6" s="3" t="str">
        <f ca="1">OFFSET('!数据编辑'!$A$1,COLUMN(B6)-1,ROW(B6)-2)</f>
        <v>守方子弹探测器</v>
      </c>
      <c r="C6" s="3">
        <f ca="1">OFFSET('!数据编辑'!$A$1,COLUMN(C6)-1,ROW(C6)-2)</f>
        <v>0</v>
      </c>
      <c r="D6" s="3">
        <f ca="1">OFFSET('!数据编辑'!$A$1,COLUMN(D6)-1,ROW(D6)-2)</f>
        <v>0</v>
      </c>
      <c r="E6" s="3">
        <f ca="1">OFFSET('!数据编辑'!$A$1,COLUMN(E6)-1,ROW(E6)-2)</f>
        <v>0</v>
      </c>
      <c r="F6" s="6" t="e">
        <f ca="1">OFFSET('!数据编辑'!$A$1,COLUMN(F6)-1,ROW(F6)-2)</f>
        <v>#N/A</v>
      </c>
      <c r="G6" s="6" t="e">
        <f ca="1">OFFSET('!数据编辑'!$A$1,COLUMN(G6)-1,ROW(G6)-2)</f>
        <v>#N/A</v>
      </c>
      <c r="H6" s="6" t="e">
        <f ca="1">OFFSET('!数据编辑'!$A$1,COLUMN(H6)-1,ROW(H6)-2)</f>
        <v>#N/A</v>
      </c>
      <c r="I6" s="6" t="e">
        <f ca="1">OFFSET('!数据编辑'!$A$1,COLUMN(I6)-1,ROW(I6)-2)</f>
        <v>#N/A</v>
      </c>
      <c r="J6" s="6" t="e">
        <f ca="1">OFFSET('!数据编辑'!$A$1,COLUMN(J6)-1,ROW(J6)-2)</f>
        <v>#N/A</v>
      </c>
      <c r="K6" s="6" t="e">
        <f ca="1">OFFSET('!数据编辑'!$A$1,COLUMN(K6)-1,ROW(K6)-2)</f>
        <v>#N/A</v>
      </c>
      <c r="L6" s="6" t="e">
        <f ca="1">OFFSET('!数据编辑'!$A$1,COLUMN(L6)-1,ROW(L6)-2)</f>
        <v>#N/A</v>
      </c>
      <c r="M6" s="6" t="e">
        <f ca="1">OFFSET('!数据编辑'!$A$1,COLUMN(M6)-1,ROW(M6)-2)</f>
        <v>#N/A</v>
      </c>
      <c r="N6" s="6" t="e">
        <f ca="1">OFFSET('!数据编辑'!$A$1,COLUMN(N6)-1,ROW(N6)-2)</f>
        <v>#N/A</v>
      </c>
      <c r="O6" s="6" t="e">
        <f ca="1">OFFSET('!数据编辑'!$A$1,COLUMN(O6)-1,ROW(O6)-2)</f>
        <v>#N/A</v>
      </c>
      <c r="P6" s="6" t="e">
        <f ca="1">OFFSET('!数据编辑'!$A$1,COLUMN(P6)-1,ROW(P6)-2)</f>
        <v>#N/A</v>
      </c>
      <c r="Q6" s="6" t="e">
        <f ca="1">OFFSET('!数据编辑'!$A$1,COLUMN(Q6)-1,ROW(Q6)-2)</f>
        <v>#N/A</v>
      </c>
      <c r="R6" s="6" t="e">
        <f ca="1">OFFSET('!数据编辑'!$A$1,COLUMN(R6)-1,ROW(R6)-2)</f>
        <v>#N/A</v>
      </c>
      <c r="S6" s="6" t="e">
        <f ca="1">OFFSET('!数据编辑'!$A$1,COLUMN(S6)-1,ROW(S6)-2)</f>
        <v>#N/A</v>
      </c>
    </row>
    <row r="7" spans="1:19">
      <c r="A7" s="3">
        <f ca="1">OFFSET('!数据编辑'!$A$1,COLUMN(A7)-1,ROW(A7)-2)</f>
        <v>3</v>
      </c>
      <c r="B7" s="3" t="str">
        <f ca="1">OFFSET('!数据编辑'!$A$1,COLUMN(B7)-1,ROW(B7)-2)</f>
        <v>守方炮塔碰撞体</v>
      </c>
      <c r="C7" s="3">
        <f ca="1">OFFSET('!数据编辑'!$A$1,COLUMN(C7)-1,ROW(C7)-2)</f>
        <v>0</v>
      </c>
      <c r="D7" s="3">
        <f ca="1">OFFSET('!数据编辑'!$A$1,COLUMN(D7)-1,ROW(D7)-2)</f>
        <v>0</v>
      </c>
      <c r="E7" s="3">
        <f ca="1">OFFSET('!数据编辑'!$A$1,COLUMN(E7)-1,ROW(E7)-2)</f>
        <v>0</v>
      </c>
      <c r="F7" s="3">
        <f ca="1">OFFSET('!数据编辑'!$A$1,COLUMN(F7)-1,ROW(F7)-2)</f>
        <v>1</v>
      </c>
      <c r="G7" s="6" t="e">
        <f ca="1">OFFSET('!数据编辑'!$A$1,COLUMN(G7)-1,ROW(G7)-2)</f>
        <v>#N/A</v>
      </c>
      <c r="H7" s="6" t="e">
        <f ca="1">OFFSET('!数据编辑'!$A$1,COLUMN(H7)-1,ROW(H7)-2)</f>
        <v>#N/A</v>
      </c>
      <c r="I7" s="6" t="e">
        <f ca="1">OFFSET('!数据编辑'!$A$1,COLUMN(I7)-1,ROW(I7)-2)</f>
        <v>#N/A</v>
      </c>
      <c r="J7" s="6" t="e">
        <f ca="1">OFFSET('!数据编辑'!$A$1,COLUMN(J7)-1,ROW(J7)-2)</f>
        <v>#N/A</v>
      </c>
      <c r="K7" s="6" t="e">
        <f ca="1">OFFSET('!数据编辑'!$A$1,COLUMN(K7)-1,ROW(K7)-2)</f>
        <v>#N/A</v>
      </c>
      <c r="L7" s="6" t="e">
        <f ca="1">OFFSET('!数据编辑'!$A$1,COLUMN(L7)-1,ROW(L7)-2)</f>
        <v>#N/A</v>
      </c>
      <c r="M7" s="6" t="e">
        <f ca="1">OFFSET('!数据编辑'!$A$1,COLUMN(M7)-1,ROW(M7)-2)</f>
        <v>#N/A</v>
      </c>
      <c r="N7" s="6" t="e">
        <f ca="1">OFFSET('!数据编辑'!$A$1,COLUMN(N7)-1,ROW(N7)-2)</f>
        <v>#N/A</v>
      </c>
      <c r="O7" s="6" t="e">
        <f ca="1">OFFSET('!数据编辑'!$A$1,COLUMN(O7)-1,ROW(O7)-2)</f>
        <v>#N/A</v>
      </c>
      <c r="P7" s="6" t="e">
        <f ca="1">OFFSET('!数据编辑'!$A$1,COLUMN(P7)-1,ROW(P7)-2)</f>
        <v>#N/A</v>
      </c>
      <c r="Q7" s="6" t="e">
        <f ca="1">OFFSET('!数据编辑'!$A$1,COLUMN(Q7)-1,ROW(Q7)-2)</f>
        <v>#N/A</v>
      </c>
      <c r="R7" s="6" t="e">
        <f ca="1">OFFSET('!数据编辑'!$A$1,COLUMN(R7)-1,ROW(R7)-2)</f>
        <v>#N/A</v>
      </c>
      <c r="S7" s="6" t="e">
        <f ca="1">OFFSET('!数据编辑'!$A$1,COLUMN(S7)-1,ROW(S7)-2)</f>
        <v>#N/A</v>
      </c>
    </row>
    <row r="8" spans="1:19">
      <c r="A8" s="3">
        <f ca="1">OFFSET('!数据编辑'!$A$1,COLUMN(A8)-1,ROW(A8)-2)</f>
        <v>4</v>
      </c>
      <c r="B8" s="3" t="str">
        <f ca="1">OFFSET('!数据编辑'!$A$1,COLUMN(B8)-1,ROW(B8)-2)</f>
        <v>守方碰撞箱</v>
      </c>
      <c r="C8" s="3">
        <f ca="1">OFFSET('!数据编辑'!$A$1,COLUMN(C8)-1,ROW(C8)-2)</f>
        <v>0</v>
      </c>
      <c r="D8" s="3">
        <f ca="1">OFFSET('!数据编辑'!$A$1,COLUMN(D8)-1,ROW(D8)-2)</f>
        <v>0</v>
      </c>
      <c r="E8" s="3">
        <f ca="1">OFFSET('!数据编辑'!$A$1,COLUMN(E8)-1,ROW(E8)-2)</f>
        <v>0</v>
      </c>
      <c r="F8" s="3">
        <f ca="1">OFFSET('!数据编辑'!$A$1,COLUMN(F8)-1,ROW(F8)-2)</f>
        <v>0</v>
      </c>
      <c r="G8" s="3">
        <f ca="1">OFFSET('!数据编辑'!$A$1,COLUMN(G8)-1,ROW(G8)-2)</f>
        <v>0</v>
      </c>
      <c r="H8" s="6" t="e">
        <f ca="1">OFFSET('!数据编辑'!$A$1,COLUMN(H8)-1,ROW(H8)-2)</f>
        <v>#N/A</v>
      </c>
      <c r="I8" s="6" t="e">
        <f ca="1">OFFSET('!数据编辑'!$A$1,COLUMN(I8)-1,ROW(I8)-2)</f>
        <v>#N/A</v>
      </c>
      <c r="J8" s="6" t="e">
        <f ca="1">OFFSET('!数据编辑'!$A$1,COLUMN(J8)-1,ROW(J8)-2)</f>
        <v>#N/A</v>
      </c>
      <c r="K8" s="6" t="e">
        <f ca="1">OFFSET('!数据编辑'!$A$1,COLUMN(K8)-1,ROW(K8)-2)</f>
        <v>#N/A</v>
      </c>
      <c r="L8" s="6" t="e">
        <f ca="1">OFFSET('!数据编辑'!$A$1,COLUMN(L8)-1,ROW(L8)-2)</f>
        <v>#N/A</v>
      </c>
      <c r="M8" s="6" t="e">
        <f ca="1">OFFSET('!数据编辑'!$A$1,COLUMN(M8)-1,ROW(M8)-2)</f>
        <v>#N/A</v>
      </c>
      <c r="N8" s="6" t="e">
        <f ca="1">OFFSET('!数据编辑'!$A$1,COLUMN(N8)-1,ROW(N8)-2)</f>
        <v>#N/A</v>
      </c>
      <c r="O8" s="6" t="e">
        <f ca="1">OFFSET('!数据编辑'!$A$1,COLUMN(O8)-1,ROW(O8)-2)</f>
        <v>#N/A</v>
      </c>
      <c r="P8" s="6" t="e">
        <f ca="1">OFFSET('!数据编辑'!$A$1,COLUMN(P8)-1,ROW(P8)-2)</f>
        <v>#N/A</v>
      </c>
      <c r="Q8" s="6" t="e">
        <f ca="1">OFFSET('!数据编辑'!$A$1,COLUMN(Q8)-1,ROW(Q8)-2)</f>
        <v>#N/A</v>
      </c>
      <c r="R8" s="6" t="e">
        <f ca="1">OFFSET('!数据编辑'!$A$1,COLUMN(R8)-1,ROW(R8)-2)</f>
        <v>#N/A</v>
      </c>
      <c r="S8" s="6" t="e">
        <f ca="1">OFFSET('!数据编辑'!$A$1,COLUMN(S8)-1,ROW(S8)-2)</f>
        <v>#N/A</v>
      </c>
    </row>
    <row r="9" spans="1:19">
      <c r="A9" s="3">
        <f ca="1">OFFSET('!数据编辑'!$A$1,COLUMN(A9)-1,ROW(A9)-2)</f>
        <v>5</v>
      </c>
      <c r="B9" s="3" t="str">
        <f ca="1">OFFSET('!数据编辑'!$A$1,COLUMN(B9)-1,ROW(B9)-2)</f>
        <v>攻方炮塔</v>
      </c>
      <c r="C9" s="3">
        <f ca="1">OFFSET('!数据编辑'!$A$1,COLUMN(C9)-1,ROW(C9)-2)</f>
        <v>0</v>
      </c>
      <c r="D9" s="3">
        <f ca="1">OFFSET('!数据编辑'!$A$1,COLUMN(D9)-1,ROW(D9)-2)</f>
        <v>0</v>
      </c>
      <c r="E9" s="3">
        <f ca="1">OFFSET('!数据编辑'!$A$1,COLUMN(E9)-1,ROW(E9)-2)</f>
        <v>0</v>
      </c>
      <c r="F9" s="3">
        <f ca="1">OFFSET('!数据编辑'!$A$1,COLUMN(F9)-1,ROW(F9)-2)</f>
        <v>0</v>
      </c>
      <c r="G9" s="3">
        <f ca="1">OFFSET('!数据编辑'!$A$1,COLUMN(G9)-1,ROW(G9)-2)</f>
        <v>0</v>
      </c>
      <c r="H9" s="3">
        <f ca="1">OFFSET('!数据编辑'!$A$1,COLUMN(H9)-1,ROW(H9)-2)</f>
        <v>0</v>
      </c>
      <c r="I9" s="6" t="e">
        <f ca="1">OFFSET('!数据编辑'!$A$1,COLUMN(I9)-1,ROW(I9)-2)</f>
        <v>#N/A</v>
      </c>
      <c r="J9" s="6" t="e">
        <f ca="1">OFFSET('!数据编辑'!$A$1,COLUMN(J9)-1,ROW(J9)-2)</f>
        <v>#N/A</v>
      </c>
      <c r="K9" s="6" t="e">
        <f ca="1">OFFSET('!数据编辑'!$A$1,COLUMN(K9)-1,ROW(K9)-2)</f>
        <v>#N/A</v>
      </c>
      <c r="L9" s="6" t="e">
        <f ca="1">OFFSET('!数据编辑'!$A$1,COLUMN(L9)-1,ROW(L9)-2)</f>
        <v>#N/A</v>
      </c>
      <c r="M9" s="6" t="e">
        <f ca="1">OFFSET('!数据编辑'!$A$1,COLUMN(M9)-1,ROW(M9)-2)</f>
        <v>#N/A</v>
      </c>
      <c r="N9" s="6" t="e">
        <f ca="1">OFFSET('!数据编辑'!$A$1,COLUMN(N9)-1,ROW(N9)-2)</f>
        <v>#N/A</v>
      </c>
      <c r="O9" s="6" t="e">
        <f ca="1">OFFSET('!数据编辑'!$A$1,COLUMN(O9)-1,ROW(O9)-2)</f>
        <v>#N/A</v>
      </c>
      <c r="P9" s="6" t="e">
        <f ca="1">OFFSET('!数据编辑'!$A$1,COLUMN(P9)-1,ROW(P9)-2)</f>
        <v>#N/A</v>
      </c>
      <c r="Q9" s="6" t="e">
        <f ca="1">OFFSET('!数据编辑'!$A$1,COLUMN(Q9)-1,ROW(Q9)-2)</f>
        <v>#N/A</v>
      </c>
      <c r="R9" s="6" t="e">
        <f ca="1">OFFSET('!数据编辑'!$A$1,COLUMN(R9)-1,ROW(R9)-2)</f>
        <v>#N/A</v>
      </c>
      <c r="S9" s="6" t="e">
        <f ca="1">OFFSET('!数据编辑'!$A$1,COLUMN(S9)-1,ROW(S9)-2)</f>
        <v>#N/A</v>
      </c>
    </row>
    <row r="10" spans="1:19">
      <c r="A10" s="3">
        <f ca="1">OFFSET('!数据编辑'!$A$1,COLUMN(A10)-1,ROW(A10)-2)</f>
        <v>6</v>
      </c>
      <c r="B10" s="3" t="str">
        <f ca="1">OFFSET('!数据编辑'!$A$1,COLUMN(B10)-1,ROW(B10)-2)</f>
        <v>守方炮塔本体</v>
      </c>
      <c r="C10" s="3">
        <f ca="1">OFFSET('!数据编辑'!$A$1,COLUMN(C10)-1,ROW(C10)-2)</f>
        <v>0</v>
      </c>
      <c r="D10" s="3">
        <f ca="1">OFFSET('!数据编辑'!$A$1,COLUMN(D10)-1,ROW(D10)-2)</f>
        <v>0</v>
      </c>
      <c r="E10" s="3">
        <f ca="1">OFFSET('!数据编辑'!$A$1,COLUMN(E10)-1,ROW(E10)-2)</f>
        <v>0</v>
      </c>
      <c r="F10" s="3">
        <f ca="1">OFFSET('!数据编辑'!$A$1,COLUMN(F10)-1,ROW(F10)-2)</f>
        <v>1</v>
      </c>
      <c r="G10" s="3">
        <f ca="1">OFFSET('!数据编辑'!$A$1,COLUMN(G10)-1,ROW(G10)-2)</f>
        <v>0</v>
      </c>
      <c r="H10" s="3">
        <f ca="1">OFFSET('!数据编辑'!$A$1,COLUMN(H10)-1,ROW(H10)-2)</f>
        <v>0</v>
      </c>
      <c r="I10" s="3">
        <f ca="1">OFFSET('!数据编辑'!$A$1,COLUMN(I10)-1,ROW(I10)-2)</f>
        <v>1</v>
      </c>
      <c r="J10" s="6" t="e">
        <f ca="1">OFFSET('!数据编辑'!$A$1,COLUMN(J10)-1,ROW(J10)-2)</f>
        <v>#N/A</v>
      </c>
      <c r="K10" s="6" t="e">
        <f ca="1">OFFSET('!数据编辑'!$A$1,COLUMN(K10)-1,ROW(K10)-2)</f>
        <v>#N/A</v>
      </c>
      <c r="L10" s="6" t="e">
        <f ca="1">OFFSET('!数据编辑'!$A$1,COLUMN(L10)-1,ROW(L10)-2)</f>
        <v>#N/A</v>
      </c>
      <c r="M10" s="6" t="e">
        <f ca="1">OFFSET('!数据编辑'!$A$1,COLUMN(M10)-1,ROW(M10)-2)</f>
        <v>#N/A</v>
      </c>
      <c r="N10" s="6" t="e">
        <f ca="1">OFFSET('!数据编辑'!$A$1,COLUMN(N10)-1,ROW(N10)-2)</f>
        <v>#N/A</v>
      </c>
      <c r="O10" s="6" t="e">
        <f ca="1">OFFSET('!数据编辑'!$A$1,COLUMN(O10)-1,ROW(O10)-2)</f>
        <v>#N/A</v>
      </c>
      <c r="P10" s="6" t="e">
        <f ca="1">OFFSET('!数据编辑'!$A$1,COLUMN(P10)-1,ROW(P10)-2)</f>
        <v>#N/A</v>
      </c>
      <c r="Q10" s="6" t="e">
        <f ca="1">OFFSET('!数据编辑'!$A$1,COLUMN(Q10)-1,ROW(Q10)-2)</f>
        <v>#N/A</v>
      </c>
      <c r="R10" s="6" t="e">
        <f ca="1">OFFSET('!数据编辑'!$A$1,COLUMN(R10)-1,ROW(R10)-2)</f>
        <v>#N/A</v>
      </c>
      <c r="S10" s="6" t="e">
        <f ca="1">OFFSET('!数据编辑'!$A$1,COLUMN(S10)-1,ROW(S10)-2)</f>
        <v>#N/A</v>
      </c>
    </row>
    <row r="11" spans="1:19">
      <c r="A11" s="3">
        <f ca="1">OFFSET('!数据编辑'!$A$1,COLUMN(A11)-1,ROW(A11)-2)</f>
        <v>7</v>
      </c>
      <c r="B11" s="3" t="str">
        <f ca="1">OFFSET('!数据编辑'!$A$1,COLUMN(B11)-1,ROW(B11)-2)</f>
        <v>攻方子弹</v>
      </c>
      <c r="C11" s="3">
        <f ca="1">OFFSET('!数据编辑'!$A$1,COLUMN(C11)-1,ROW(C11)-2)</f>
        <v>0</v>
      </c>
      <c r="D11" s="3">
        <f ca="1">OFFSET('!数据编辑'!$A$1,COLUMN(D11)-1,ROW(D11)-2)</f>
        <v>1</v>
      </c>
      <c r="E11" s="3">
        <f ca="1">OFFSET('!数据编辑'!$A$1,COLUMN(E11)-1,ROW(E11)-2)</f>
        <v>1</v>
      </c>
      <c r="F11" s="3">
        <f ca="1">OFFSET('!数据编辑'!$A$1,COLUMN(F11)-1,ROW(F11)-2)</f>
        <v>0</v>
      </c>
      <c r="G11" s="3">
        <f ca="1">OFFSET('!数据编辑'!$A$1,COLUMN(G11)-1,ROW(G11)-2)</f>
        <v>1</v>
      </c>
      <c r="H11" s="3">
        <f ca="1">OFFSET('!数据编辑'!$A$1,COLUMN(H11)-1,ROW(H11)-2)</f>
        <v>0</v>
      </c>
      <c r="I11" s="3">
        <f ca="1">OFFSET('!数据编辑'!$A$1,COLUMN(I11)-1,ROW(I11)-2)</f>
        <v>0</v>
      </c>
      <c r="J11" s="3">
        <f ca="1">OFFSET('!数据编辑'!$A$1,COLUMN(J11)-1,ROW(J11)-2)</f>
        <v>1</v>
      </c>
      <c r="K11" s="6" t="e">
        <f ca="1">OFFSET('!数据编辑'!$A$1,COLUMN(K11)-1,ROW(K11)-2)</f>
        <v>#N/A</v>
      </c>
      <c r="L11" s="6" t="e">
        <f ca="1">OFFSET('!数据编辑'!$A$1,COLUMN(L11)-1,ROW(L11)-2)</f>
        <v>#N/A</v>
      </c>
      <c r="M11" s="6" t="e">
        <f ca="1">OFFSET('!数据编辑'!$A$1,COLUMN(M11)-1,ROW(M11)-2)</f>
        <v>#N/A</v>
      </c>
      <c r="N11" s="6" t="e">
        <f ca="1">OFFSET('!数据编辑'!$A$1,COLUMN(N11)-1,ROW(N11)-2)</f>
        <v>#N/A</v>
      </c>
      <c r="O11" s="6" t="e">
        <f ca="1">OFFSET('!数据编辑'!$A$1,COLUMN(O11)-1,ROW(O11)-2)</f>
        <v>#N/A</v>
      </c>
      <c r="P11" s="6" t="e">
        <f ca="1">OFFSET('!数据编辑'!$A$1,COLUMN(P11)-1,ROW(P11)-2)</f>
        <v>#N/A</v>
      </c>
      <c r="Q11" s="6" t="e">
        <f ca="1">OFFSET('!数据编辑'!$A$1,COLUMN(Q11)-1,ROW(Q11)-2)</f>
        <v>#N/A</v>
      </c>
      <c r="R11" s="6" t="e">
        <f ca="1">OFFSET('!数据编辑'!$A$1,COLUMN(R11)-1,ROW(R11)-2)</f>
        <v>#N/A</v>
      </c>
      <c r="S11" s="6" t="e">
        <f ca="1">OFFSET('!数据编辑'!$A$1,COLUMN(S11)-1,ROW(S11)-2)</f>
        <v>#N/A</v>
      </c>
    </row>
    <row r="12" spans="1:19">
      <c r="A12" s="3">
        <f ca="1">OFFSET('!数据编辑'!$A$1,COLUMN(A12)-1,ROW(A12)-2)</f>
        <v>8</v>
      </c>
      <c r="B12" s="3" t="str">
        <f ca="1">OFFSET('!数据编辑'!$A$1,COLUMN(B12)-1,ROW(B12)-2)</f>
        <v>守方子弹</v>
      </c>
      <c r="C12" s="3">
        <f ca="1">OFFSET('!数据编辑'!$A$1,COLUMN(C12)-1,ROW(C12)-2)</f>
        <v>0</v>
      </c>
      <c r="D12" s="3">
        <f ca="1">OFFSET('!数据编辑'!$A$1,COLUMN(D12)-1,ROW(D12)-2)</f>
        <v>0</v>
      </c>
      <c r="E12" s="3">
        <f ca="1">OFFSET('!数据编辑'!$A$1,COLUMN(E12)-1,ROW(E12)-2)</f>
        <v>0</v>
      </c>
      <c r="F12" s="3">
        <f ca="1">OFFSET('!数据编辑'!$A$1,COLUMN(F12)-1,ROW(F12)-2)</f>
        <v>0</v>
      </c>
      <c r="G12" s="3">
        <f ca="1">OFFSET('!数据编辑'!$A$1,COLUMN(G12)-1,ROW(G12)-2)</f>
        <v>0</v>
      </c>
      <c r="H12" s="3">
        <f ca="1">OFFSET('!数据编辑'!$A$1,COLUMN(H12)-1,ROW(H12)-2)</f>
        <v>0</v>
      </c>
      <c r="I12" s="3">
        <f ca="1">OFFSET('!数据编辑'!$A$1,COLUMN(I12)-1,ROW(I12)-2)</f>
        <v>0</v>
      </c>
      <c r="J12" s="3">
        <f ca="1">OFFSET('!数据编辑'!$A$1,COLUMN(J12)-1,ROW(J12)-2)</f>
        <v>0</v>
      </c>
      <c r="K12" s="3">
        <f ca="1">OFFSET('!数据编辑'!$A$1,COLUMN(K12)-1,ROW(K12)-2)</f>
        <v>0</v>
      </c>
      <c r="L12" s="6" t="e">
        <f ca="1">OFFSET('!数据编辑'!$A$1,COLUMN(L12)-1,ROW(L12)-2)</f>
        <v>#N/A</v>
      </c>
      <c r="M12" s="6" t="e">
        <f ca="1">OFFSET('!数据编辑'!$A$1,COLUMN(M12)-1,ROW(M12)-2)</f>
        <v>#N/A</v>
      </c>
      <c r="N12" s="6" t="e">
        <f ca="1">OFFSET('!数据编辑'!$A$1,COLUMN(N12)-1,ROW(N12)-2)</f>
        <v>#N/A</v>
      </c>
      <c r="O12" s="6" t="e">
        <f ca="1">OFFSET('!数据编辑'!$A$1,COLUMN(O12)-1,ROW(O12)-2)</f>
        <v>#N/A</v>
      </c>
      <c r="P12" s="6" t="e">
        <f ca="1">OFFSET('!数据编辑'!$A$1,COLUMN(P12)-1,ROW(P12)-2)</f>
        <v>#N/A</v>
      </c>
      <c r="Q12" s="6" t="e">
        <f ca="1">OFFSET('!数据编辑'!$A$1,COLUMN(Q12)-1,ROW(Q12)-2)</f>
        <v>#N/A</v>
      </c>
      <c r="R12" s="6" t="e">
        <f ca="1">OFFSET('!数据编辑'!$A$1,COLUMN(R12)-1,ROW(R12)-2)</f>
        <v>#N/A</v>
      </c>
      <c r="S12" s="6" t="e">
        <f ca="1">OFFSET('!数据编辑'!$A$1,COLUMN(S12)-1,ROW(S12)-2)</f>
        <v>#N/A</v>
      </c>
    </row>
    <row r="13" spans="1:19">
      <c r="A13" s="3">
        <f ca="1">OFFSET('!数据编辑'!$A$1,COLUMN(A13)-1,ROW(A13)-2)</f>
        <v>9</v>
      </c>
      <c r="B13" s="3" t="str">
        <f ca="1">OFFSET('!数据编辑'!$A$1,COLUMN(B13)-1,ROW(B13)-2)</f>
        <v>传送带空气墙</v>
      </c>
      <c r="C13" s="3">
        <f ca="1">OFFSET('!数据编辑'!$A$1,COLUMN(C13)-1,ROW(C13)-2)</f>
        <v>0</v>
      </c>
      <c r="D13" s="3">
        <f ca="1">OFFSET('!数据编辑'!$A$1,COLUMN(D13)-1,ROW(D13)-2)</f>
        <v>1</v>
      </c>
      <c r="E13" s="3">
        <f ca="1">OFFSET('!数据编辑'!$A$1,COLUMN(E13)-1,ROW(E13)-2)</f>
        <v>0</v>
      </c>
      <c r="F13" s="3">
        <f ca="1">OFFSET('!数据编辑'!$A$1,COLUMN(F13)-1,ROW(F13)-2)</f>
        <v>0</v>
      </c>
      <c r="G13" s="3">
        <f ca="1">OFFSET('!数据编辑'!$A$1,COLUMN(G13)-1,ROW(G13)-2)</f>
        <v>0</v>
      </c>
      <c r="H13" s="3">
        <f ca="1">OFFSET('!数据编辑'!$A$1,COLUMN(H13)-1,ROW(H13)-2)</f>
        <v>0</v>
      </c>
      <c r="I13" s="3">
        <f ca="1">OFFSET('!数据编辑'!$A$1,COLUMN(I13)-1,ROW(I13)-2)</f>
        <v>0</v>
      </c>
      <c r="J13" s="3">
        <f ca="1">OFFSET('!数据编辑'!$A$1,COLUMN(J13)-1,ROW(J13)-2)</f>
        <v>0</v>
      </c>
      <c r="K13" s="3">
        <f ca="1">OFFSET('!数据编辑'!$A$1,COLUMN(K13)-1,ROW(K13)-2)</f>
        <v>0</v>
      </c>
      <c r="L13" s="6">
        <f ca="1">OFFSET('!数据编辑'!$A$1,COLUMN(L13)-1,ROW(L13)-2)</f>
        <v>0</v>
      </c>
      <c r="M13" s="6" t="e">
        <f ca="1">OFFSET('!数据编辑'!$A$1,COLUMN(M13)-1,ROW(M13)-2)</f>
        <v>#N/A</v>
      </c>
      <c r="N13" s="6" t="e">
        <f ca="1">OFFSET('!数据编辑'!$A$1,COLUMN(N13)-1,ROW(N13)-2)</f>
        <v>#N/A</v>
      </c>
      <c r="O13" s="6" t="e">
        <f ca="1">OFFSET('!数据编辑'!$A$1,COLUMN(O13)-1,ROW(O13)-2)</f>
        <v>#N/A</v>
      </c>
      <c r="P13" s="6" t="e">
        <f ca="1">OFFSET('!数据编辑'!$A$1,COLUMN(P13)-1,ROW(P13)-2)</f>
        <v>#N/A</v>
      </c>
      <c r="Q13" s="6" t="e">
        <f ca="1">OFFSET('!数据编辑'!$A$1,COLUMN(Q13)-1,ROW(Q13)-2)</f>
        <v>#N/A</v>
      </c>
      <c r="R13" s="6" t="e">
        <f ca="1">OFFSET('!数据编辑'!$A$1,COLUMN(R13)-1,ROW(R13)-2)</f>
        <v>#N/A</v>
      </c>
      <c r="S13" s="6" t="e">
        <f ca="1">OFFSET('!数据编辑'!$A$1,COLUMN(S13)-1,ROW(S13)-2)</f>
        <v>#N/A</v>
      </c>
    </row>
    <row r="14" spans="1:19">
      <c r="A14" s="3">
        <f ca="1">OFFSET('!数据编辑'!$A$1,COLUMN(A14)-1,ROW(A14)-2)</f>
        <v>10</v>
      </c>
      <c r="B14" s="3" t="str">
        <f ca="1">OFFSET('!数据编辑'!$A$1,COLUMN(B14)-1,ROW(B14)-2)</f>
        <v>地图空气墙</v>
      </c>
      <c r="C14" s="3">
        <f ca="1">OFFSET('!数据编辑'!$A$1,COLUMN(C14)-1,ROW(C14)-2)</f>
        <v>0</v>
      </c>
      <c r="D14" s="3">
        <f ca="1">OFFSET('!数据编辑'!$A$1,COLUMN(D14)-1,ROW(D14)-2)</f>
        <v>0</v>
      </c>
      <c r="E14" s="3">
        <f ca="1">OFFSET('!数据编辑'!$A$1,COLUMN(E14)-1,ROW(E14)-2)</f>
        <v>0</v>
      </c>
      <c r="F14" s="3">
        <f ca="1">OFFSET('!数据编辑'!$A$1,COLUMN(F14)-1,ROW(F14)-2)</f>
        <v>0</v>
      </c>
      <c r="G14" s="3">
        <f ca="1">OFFSET('!数据编辑'!$A$1,COLUMN(G14)-1,ROW(G14)-2)</f>
        <v>0</v>
      </c>
      <c r="H14" s="3">
        <f ca="1">OFFSET('!数据编辑'!$A$1,COLUMN(H14)-1,ROW(H14)-2)</f>
        <v>0</v>
      </c>
      <c r="I14" s="3">
        <f ca="1">OFFSET('!数据编辑'!$A$1,COLUMN(I14)-1,ROW(I14)-2)</f>
        <v>1</v>
      </c>
      <c r="J14" s="3">
        <f ca="1">OFFSET('!数据编辑'!$A$1,COLUMN(J14)-1,ROW(J14)-2)</f>
        <v>1</v>
      </c>
      <c r="K14" s="3">
        <f ca="1">OFFSET('!数据编辑'!$A$1,COLUMN(K14)-1,ROW(K14)-2)</f>
        <v>1</v>
      </c>
      <c r="L14" s="3">
        <f ca="1">OFFSET('!数据编辑'!$A$1,COLUMN(L14)-1,ROW(L14)-2)</f>
        <v>0</v>
      </c>
      <c r="M14" s="6">
        <f ca="1">OFFSET('!数据编辑'!$A$1,COLUMN(M14)-1,ROW(M14)-2)</f>
        <v>0</v>
      </c>
      <c r="N14" s="6" t="e">
        <f ca="1">OFFSET('!数据编辑'!$A$1,COLUMN(N14)-1,ROW(N14)-2)</f>
        <v>#N/A</v>
      </c>
      <c r="O14" s="6" t="e">
        <f ca="1">OFFSET('!数据编辑'!$A$1,COLUMN(O14)-1,ROW(O14)-2)</f>
        <v>#N/A</v>
      </c>
      <c r="P14" s="6" t="e">
        <f ca="1">OFFSET('!数据编辑'!$A$1,COLUMN(P14)-1,ROW(P14)-2)</f>
        <v>#N/A</v>
      </c>
      <c r="Q14" s="6" t="e">
        <f ca="1">OFFSET('!数据编辑'!$A$1,COLUMN(Q14)-1,ROW(Q14)-2)</f>
        <v>#N/A</v>
      </c>
      <c r="R14" s="6" t="e">
        <f ca="1">OFFSET('!数据编辑'!$A$1,COLUMN(R14)-1,ROW(R14)-2)</f>
        <v>#N/A</v>
      </c>
      <c r="S14" s="6" t="e">
        <f ca="1">OFFSET('!数据编辑'!$A$1,COLUMN(S14)-1,ROW(S14)-2)</f>
        <v>#N/A</v>
      </c>
    </row>
    <row r="15" spans="1:19">
      <c r="A15" s="3">
        <v>11</v>
      </c>
      <c r="B15" s="3" t="str">
        <f ca="1">OFFSET('!数据编辑'!$A$1,COLUMN(B15)-1,ROW(B15)-2)</f>
        <v>守方前墙和底板</v>
      </c>
      <c r="C15" s="3">
        <f ca="1">OFFSET('!数据编辑'!$A$1,COLUMN(C15)-1,ROW(C15)-2)</f>
        <v>0</v>
      </c>
      <c r="D15" s="3">
        <f ca="1">OFFSET('!数据编辑'!$A$1,COLUMN(D15)-1,ROW(D15)-2)</f>
        <v>0</v>
      </c>
      <c r="E15" s="3">
        <f ca="1">OFFSET('!数据编辑'!$A$1,COLUMN(E15)-1,ROW(E15)-2)</f>
        <v>0</v>
      </c>
      <c r="F15" s="3">
        <f ca="1">OFFSET('!数据编辑'!$A$1,COLUMN(F15)-1,ROW(F15)-2)</f>
        <v>0</v>
      </c>
      <c r="G15" s="3">
        <f ca="1">OFFSET('!数据编辑'!$A$1,COLUMN(G15)-1,ROW(G15)-2)</f>
        <v>0</v>
      </c>
      <c r="H15" s="3">
        <f ca="1">OFFSET('!数据编辑'!$A$1,COLUMN(H15)-1,ROW(H15)-2)</f>
        <v>0</v>
      </c>
      <c r="I15" s="3">
        <f ca="1">OFFSET('!数据编辑'!$A$1,COLUMN(I15)-1,ROW(I15)-2)</f>
        <v>1</v>
      </c>
      <c r="J15" s="3">
        <f ca="1">OFFSET('!数据编辑'!$A$1,COLUMN(J15)-1,ROW(J15)-2)</f>
        <v>0</v>
      </c>
      <c r="K15" s="3">
        <f ca="1">OFFSET('!数据编辑'!$A$1,COLUMN(K15)-1,ROW(K15)-2)</f>
        <v>0</v>
      </c>
      <c r="L15" s="3">
        <f ca="1">OFFSET('!数据编辑'!$A$1,COLUMN(L15)-1,ROW(L15)-2)</f>
        <v>0</v>
      </c>
      <c r="M15" s="3">
        <f ca="1">OFFSET('!数据编辑'!$A$1,COLUMN(M15)-1,ROW(M15)-2)</f>
        <v>0</v>
      </c>
      <c r="N15" s="6">
        <f ca="1">OFFSET('!数据编辑'!$A$1,COLUMN(N15)-1,ROW(N15)-2)</f>
        <v>0</v>
      </c>
      <c r="O15" s="6" t="e">
        <f ca="1">OFFSET('!数据编辑'!$A$1,COLUMN(O15)-1,ROW(O15)-2)</f>
        <v>#N/A</v>
      </c>
      <c r="P15" s="6" t="e">
        <f ca="1">OFFSET('!数据编辑'!$A$1,COLUMN(P15)-1,ROW(P15)-2)</f>
        <v>#N/A</v>
      </c>
      <c r="Q15" s="6" t="e">
        <f ca="1">OFFSET('!数据编辑'!$A$1,COLUMN(Q15)-1,ROW(Q15)-2)</f>
        <v>#N/A</v>
      </c>
      <c r="R15" s="6" t="e">
        <f ca="1">OFFSET('!数据编辑'!$A$1,COLUMN(R15)-1,ROW(R15)-2)</f>
        <v>#N/A</v>
      </c>
      <c r="S15" s="6" t="e">
        <f ca="1">OFFSET('!数据编辑'!$A$1,COLUMN(S15)-1,ROW(S15)-2)</f>
        <v>#N/A</v>
      </c>
    </row>
    <row r="16" spans="1:19">
      <c r="A16" s="3">
        <v>12</v>
      </c>
      <c r="B16" s="3" t="str">
        <f ca="1">OFFSET('!数据编辑'!$A$1,COLUMN(B16)-1,ROW(B16)-2)</f>
        <v>攻方后墙防水果</v>
      </c>
      <c r="C16" s="3">
        <f ca="1">OFFSET('!数据编辑'!$A$1,COLUMN(C16)-1,ROW(C16)-2)</f>
        <v>0</v>
      </c>
      <c r="D16" s="3">
        <f ca="1">OFFSET('!数据编辑'!$A$1,COLUMN(D16)-1,ROW(D16)-2)</f>
        <v>0</v>
      </c>
      <c r="E16" s="3">
        <f ca="1">OFFSET('!数据编辑'!$A$1,COLUMN(E16)-1,ROW(E16)-2)</f>
        <v>0</v>
      </c>
      <c r="F16" s="3">
        <f ca="1">OFFSET('!数据编辑'!$A$1,COLUMN(F16)-1,ROW(F16)-2)</f>
        <v>0</v>
      </c>
      <c r="G16" s="3">
        <f ca="1">OFFSET('!数据编辑'!$A$1,COLUMN(G16)-1,ROW(G16)-2)</f>
        <v>0</v>
      </c>
      <c r="H16" s="3">
        <f ca="1">OFFSET('!数据编辑'!$A$1,COLUMN(H16)-1,ROW(H16)-2)</f>
        <v>0</v>
      </c>
      <c r="I16" s="3">
        <f ca="1">OFFSET('!数据编辑'!$A$1,COLUMN(I16)-1,ROW(I16)-2)</f>
        <v>0</v>
      </c>
      <c r="J16" s="3">
        <f ca="1">OFFSET('!数据编辑'!$A$1,COLUMN(J16)-1,ROW(J16)-2)</f>
        <v>1</v>
      </c>
      <c r="K16" s="3">
        <f ca="1">OFFSET('!数据编辑'!$A$1,COLUMN(K16)-1,ROW(K16)-2)</f>
        <v>0</v>
      </c>
      <c r="L16" s="3">
        <f ca="1">OFFSET('!数据编辑'!$A$1,COLUMN(L16)-1,ROW(L16)-2)</f>
        <v>0</v>
      </c>
      <c r="M16" s="3">
        <f ca="1">OFFSET('!数据编辑'!$A$1,COLUMN(M16)-1,ROW(M16)-2)</f>
        <v>0</v>
      </c>
      <c r="N16" s="6">
        <f ca="1">OFFSET('!数据编辑'!$A$1,COLUMN(N16)-1,ROW(N16)-2)</f>
        <v>0</v>
      </c>
      <c r="O16" s="6">
        <f ca="1">OFFSET('!数据编辑'!$A$1,COLUMN(O16)-1,ROW(O16)-2)</f>
        <v>0</v>
      </c>
      <c r="P16" s="6" t="e">
        <f ca="1">OFFSET('!数据编辑'!$A$1,COLUMN(P16)-1,ROW(P16)-2)</f>
        <v>#N/A</v>
      </c>
      <c r="Q16" s="6" t="e">
        <f ca="1">OFFSET('!数据编辑'!$A$1,COLUMN(Q16)-1,ROW(Q16)-2)</f>
        <v>#N/A</v>
      </c>
      <c r="R16" s="6" t="e">
        <f ca="1">OFFSET('!数据编辑'!$A$1,COLUMN(R16)-1,ROW(R16)-2)</f>
        <v>#N/A</v>
      </c>
      <c r="S16" s="6" t="e">
        <f ca="1">OFFSET('!数据编辑'!$A$1,COLUMN(S16)-1,ROW(S16)-2)</f>
        <v>#N/A</v>
      </c>
    </row>
    <row r="17" spans="1:19">
      <c r="A17" s="3">
        <v>13</v>
      </c>
      <c r="B17" s="3" t="str">
        <f ca="1">OFFSET('!数据编辑'!$A$1,COLUMN(B17)-1,ROW(B17)-2)</f>
        <v>攻方后墙防子弹</v>
      </c>
      <c r="C17" s="3">
        <f ca="1">OFFSET('!数据编辑'!$A$1,COLUMN(C17)-1,ROW(C17)-2)</f>
        <v>0</v>
      </c>
      <c r="D17" s="3">
        <f ca="1">OFFSET('!数据编辑'!$A$1,COLUMN(D17)-1,ROW(D17)-2)</f>
        <v>0</v>
      </c>
      <c r="E17" s="3">
        <f ca="1">OFFSET('!数据编辑'!$A$1,COLUMN(E17)-1,ROW(E17)-2)</f>
        <v>0</v>
      </c>
      <c r="F17" s="3">
        <f ca="1">OFFSET('!数据编辑'!$A$1,COLUMN(F17)-1,ROW(F17)-2)</f>
        <v>0</v>
      </c>
      <c r="G17" s="3">
        <f ca="1">OFFSET('!数据编辑'!$A$1,COLUMN(G17)-1,ROW(G17)-2)</f>
        <v>0</v>
      </c>
      <c r="H17" s="3">
        <f ca="1">OFFSET('!数据编辑'!$A$1,COLUMN(H17)-1,ROW(H17)-2)</f>
        <v>0</v>
      </c>
      <c r="I17" s="3">
        <f ca="1">OFFSET('!数据编辑'!$A$1,COLUMN(I17)-1,ROW(I17)-2)</f>
        <v>0</v>
      </c>
      <c r="J17" s="3">
        <f ca="1">OFFSET('!数据编辑'!$A$1,COLUMN(J17)-1,ROW(J17)-2)</f>
        <v>0</v>
      </c>
      <c r="K17" s="3">
        <f ca="1">OFFSET('!数据编辑'!$A$1,COLUMN(K17)-1,ROW(K17)-2)</f>
        <v>1</v>
      </c>
      <c r="L17" s="3">
        <f ca="1">OFFSET('!数据编辑'!$A$1,COLUMN(L17)-1,ROW(L17)-2)</f>
        <v>0</v>
      </c>
      <c r="M17" s="3">
        <f ca="1">OFFSET('!数据编辑'!$A$1,COLUMN(M17)-1,ROW(M17)-2)</f>
        <v>0</v>
      </c>
      <c r="N17" s="6">
        <f ca="1">OFFSET('!数据编辑'!$A$1,COLUMN(N17)-1,ROW(N17)-2)</f>
        <v>0</v>
      </c>
      <c r="O17" s="6">
        <f ca="1">OFFSET('!数据编辑'!$A$1,COLUMN(O17)-1,ROW(O17)-2)</f>
        <v>0</v>
      </c>
      <c r="P17" s="6">
        <f ca="1">OFFSET('!数据编辑'!$A$1,COLUMN(P17)-1,ROW(P17)-2)</f>
        <v>0</v>
      </c>
      <c r="Q17" s="6" t="e">
        <f ca="1">OFFSET('!数据编辑'!$A$1,COLUMN(Q17)-1,ROW(Q17)-2)</f>
        <v>#N/A</v>
      </c>
      <c r="R17" s="6" t="e">
        <f ca="1">OFFSET('!数据编辑'!$A$1,COLUMN(R17)-1,ROW(R17)-2)</f>
        <v>#N/A</v>
      </c>
      <c r="S17" s="6" t="e">
        <f ca="1">OFFSET('!数据编辑'!$A$1,COLUMN(S17)-1,ROW(S17)-2)</f>
        <v>#N/A</v>
      </c>
    </row>
    <row r="18" spans="1:19">
      <c r="A18" s="3">
        <v>14</v>
      </c>
      <c r="B18" s="3" t="str">
        <f ca="1">OFFSET('!数据编辑'!$A$1,COLUMN(B18)-1,ROW(B18)-2)</f>
        <v>滚筒探测器</v>
      </c>
      <c r="C18" s="3">
        <f ca="1">OFFSET('!数据编辑'!$A$1,COLUMN(C18)-1,ROW(C18)-2)</f>
        <v>0</v>
      </c>
      <c r="D18" s="3">
        <f ca="1">OFFSET('!数据编辑'!$A$1,COLUMN(D18)-1,ROW(D18)-2)</f>
        <v>0</v>
      </c>
      <c r="E18" s="3">
        <f ca="1">OFFSET('!数据编辑'!$A$1,COLUMN(E18)-1,ROW(E18)-2)</f>
        <v>0</v>
      </c>
      <c r="F18" s="3">
        <f ca="1">OFFSET('!数据编辑'!$A$1,COLUMN(F18)-1,ROW(F18)-2)</f>
        <v>0</v>
      </c>
      <c r="G18" s="3">
        <f ca="1">OFFSET('!数据编辑'!$A$1,COLUMN(G18)-1,ROW(G18)-2)</f>
        <v>0</v>
      </c>
      <c r="H18" s="3">
        <f ca="1">OFFSET('!数据编辑'!$A$1,COLUMN(H18)-1,ROW(H18)-2)</f>
        <v>0</v>
      </c>
      <c r="I18" s="3">
        <f ca="1">OFFSET('!数据编辑'!$A$1,COLUMN(I18)-1,ROW(I18)-2)</f>
        <v>1</v>
      </c>
      <c r="J18" s="3">
        <f ca="1">OFFSET('!数据编辑'!$A$1,COLUMN(J18)-1,ROW(J18)-2)</f>
        <v>0</v>
      </c>
      <c r="K18" s="3">
        <f ca="1">OFFSET('!数据编辑'!$A$1,COLUMN(K18)-1,ROW(K18)-2)</f>
        <v>0</v>
      </c>
      <c r="L18" s="3">
        <f ca="1">OFFSET('!数据编辑'!$A$1,COLUMN(L18)-1,ROW(L18)-2)</f>
        <v>0</v>
      </c>
      <c r="M18" s="3">
        <f ca="1">OFFSET('!数据编辑'!$A$1,COLUMN(M18)-1,ROW(M18)-2)</f>
        <v>0</v>
      </c>
      <c r="N18" s="6">
        <f ca="1">OFFSET('!数据编辑'!$A$1,COLUMN(N18)-1,ROW(N18)-2)</f>
        <v>0</v>
      </c>
      <c r="O18" s="6">
        <f ca="1">OFFSET('!数据编辑'!$A$1,COLUMN(O18)-1,ROW(O18)-2)</f>
        <v>0</v>
      </c>
      <c r="P18" s="6">
        <f ca="1">OFFSET('!数据编辑'!$A$1,COLUMN(P18)-1,ROW(P18)-2)</f>
        <v>0</v>
      </c>
      <c r="Q18" s="6">
        <f ca="1">OFFSET('!数据编辑'!$A$1,COLUMN(Q18)-1,ROW(Q18)-2)</f>
        <v>0</v>
      </c>
      <c r="R18" s="6" t="e">
        <f ca="1">OFFSET('!数据编辑'!$A$1,COLUMN(R18)-1,ROW(R18)-2)</f>
        <v>#N/A</v>
      </c>
      <c r="S18" s="6" t="e">
        <f ca="1">OFFSET('!数据编辑'!$A$1,COLUMN(S18)-1,ROW(S18)-2)</f>
        <v>#N/A</v>
      </c>
    </row>
    <row r="19" spans="1:19">
      <c r="A19" s="3">
        <v>15</v>
      </c>
      <c r="B19" s="3" t="str">
        <f ca="1">OFFSET('!数据编辑'!$A$1,COLUMN(B19)-1,ROW(B19)-2)</f>
        <v>飞刀</v>
      </c>
      <c r="C19" s="3">
        <f ca="1">OFFSET('!数据编辑'!$A$1,COLUMN(C19)-1,ROW(C19)-2)</f>
        <v>0</v>
      </c>
      <c r="D19" s="3">
        <f ca="1">OFFSET('!数据编辑'!$A$1,COLUMN(D19)-1,ROW(D19)-2)</f>
        <v>0</v>
      </c>
      <c r="E19" s="3">
        <f ca="1">OFFSET('!数据编辑'!$A$1,COLUMN(E19)-1,ROW(E19)-2)</f>
        <v>0</v>
      </c>
      <c r="F19" s="3">
        <f ca="1">OFFSET('!数据编辑'!$A$1,COLUMN(F19)-1,ROW(F19)-2)</f>
        <v>0</v>
      </c>
      <c r="G19" s="3">
        <f ca="1">OFFSET('!数据编辑'!$A$1,COLUMN(G19)-1,ROW(G19)-2)</f>
        <v>0</v>
      </c>
      <c r="H19" s="3">
        <f ca="1">OFFSET('!数据编辑'!$A$1,COLUMN(H19)-1,ROW(H19)-2)</f>
        <v>0</v>
      </c>
      <c r="I19" s="3">
        <f ca="1">OFFSET('!数据编辑'!$A$1,COLUMN(I19)-1,ROW(I19)-2)</f>
        <v>0</v>
      </c>
      <c r="J19" s="3">
        <f ca="1">OFFSET('!数据编辑'!$A$1,COLUMN(J19)-1,ROW(J19)-2)</f>
        <v>0</v>
      </c>
      <c r="K19" s="3">
        <f ca="1">OFFSET('!数据编辑'!$A$1,COLUMN(K19)-1,ROW(K19)-2)</f>
        <v>0</v>
      </c>
      <c r="L19" s="3">
        <f ca="1">OFFSET('!数据编辑'!$A$1,COLUMN(L19)-1,ROW(L19)-2)</f>
        <v>0</v>
      </c>
      <c r="M19" s="3">
        <f ca="1">OFFSET('!数据编辑'!$A$1,COLUMN(M19)-1,ROW(M19)-2)</f>
        <v>0</v>
      </c>
      <c r="N19" s="6">
        <f ca="1">OFFSET('!数据编辑'!$A$1,COLUMN(N19)-1,ROW(N19)-2)</f>
        <v>0</v>
      </c>
      <c r="O19" s="6">
        <f ca="1">OFFSET('!数据编辑'!$A$1,COLUMN(O19)-1,ROW(O19)-2)</f>
        <v>0</v>
      </c>
      <c r="P19" s="6">
        <f ca="1">OFFSET('!数据编辑'!$A$1,COLUMN(P19)-1,ROW(P19)-2)</f>
        <v>1</v>
      </c>
      <c r="Q19" s="6">
        <f ca="1">OFFSET('!数据编辑'!$A$1,COLUMN(Q19)-1,ROW(Q19)-2)</f>
        <v>0</v>
      </c>
      <c r="R19" s="6">
        <f ca="1">OFFSET('!数据编辑'!$A$1,COLUMN(R19)-1,ROW(R19)-2)</f>
        <v>0</v>
      </c>
      <c r="S19" s="6" t="e">
        <f ca="1">OFFSET('!数据编辑'!$A$1,COLUMN(S19)-1,ROW(S19)-2)</f>
        <v>#N/A</v>
      </c>
    </row>
    <row r="20" spans="1:19">
      <c r="A20" s="3">
        <v>16</v>
      </c>
      <c r="B20" s="3" t="str">
        <f ca="1">OFFSET('!数据编辑'!$A$1,COLUMN(B20)-1,ROW(B20)-2)</f>
        <v>普通子弹</v>
      </c>
      <c r="C20" s="3">
        <f ca="1">OFFSET('!数据编辑'!$A$1,COLUMN(C20)-1,ROW(C20)-2)</f>
        <v>0</v>
      </c>
      <c r="D20" s="3">
        <f ca="1">OFFSET('!数据编辑'!$A$1,COLUMN(D20)-1,ROW(D20)-2)</f>
        <v>0</v>
      </c>
      <c r="E20" s="3">
        <f ca="1">OFFSET('!数据编辑'!$A$1,COLUMN(E20)-1,ROW(E20)-2)</f>
        <v>0</v>
      </c>
      <c r="F20" s="3">
        <f ca="1">OFFSET('!数据编辑'!$A$1,COLUMN(F20)-1,ROW(F20)-2)</f>
        <v>0</v>
      </c>
      <c r="G20" s="3">
        <f ca="1">OFFSET('!数据编辑'!$A$1,COLUMN(G20)-1,ROW(G20)-2)</f>
        <v>0</v>
      </c>
      <c r="H20" s="3">
        <f ca="1">OFFSET('!数据编辑'!$A$1,COLUMN(H20)-1,ROW(H20)-2)</f>
        <v>0</v>
      </c>
      <c r="I20" s="3">
        <f ca="1">OFFSET('!数据编辑'!$A$1,COLUMN(I20)-1,ROW(I20)-2)</f>
        <v>0</v>
      </c>
      <c r="J20" s="3">
        <f ca="1">OFFSET('!数据编辑'!$A$1,COLUMN(J20)-1,ROW(J20)-2)</f>
        <v>1</v>
      </c>
      <c r="K20" s="3">
        <f ca="1">OFFSET('!数据编辑'!$A$1,COLUMN(K20)-1,ROW(K20)-2)</f>
        <v>0</v>
      </c>
      <c r="L20" s="3">
        <f ca="1">OFFSET('!数据编辑'!$A$1,COLUMN(L20)-1,ROW(L20)-2)</f>
        <v>0</v>
      </c>
      <c r="M20" s="3">
        <f ca="1">OFFSET('!数据编辑'!$A$1,COLUMN(M20)-1,ROW(M20)-2)</f>
        <v>1</v>
      </c>
      <c r="N20" s="6">
        <f ca="1">OFFSET('!数据编辑'!$A$1,COLUMN(N20)-1,ROW(N20)-2)</f>
        <v>0</v>
      </c>
      <c r="O20" s="6">
        <f ca="1">OFFSET('!数据编辑'!$A$1,COLUMN(O20)-1,ROW(O20)-2)</f>
        <v>0</v>
      </c>
      <c r="P20" s="6">
        <f ca="1">OFFSET('!数据编辑'!$A$1,COLUMN(P20)-1,ROW(P20)-2)</f>
        <v>1</v>
      </c>
      <c r="Q20" s="6">
        <f ca="1">OFFSET('!数据编辑'!$A$1,COLUMN(Q20)-1,ROW(Q20)-2)</f>
        <v>0</v>
      </c>
      <c r="R20" s="6">
        <f ca="1">OFFSET('!数据编辑'!$A$1,COLUMN(R20)-1,ROW(R20)-2)</f>
        <v>0</v>
      </c>
      <c r="S20" s="6">
        <f ca="1">OFFSET('!数据编辑'!$A$1,COLUMN(S20)-1,ROW(S20)-2)</f>
        <v>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="70" zoomScaleNormal="70" workbookViewId="0">
      <pane xSplit="2" ySplit="2" topLeftCell="C7" activePane="bottomRight" state="frozen"/>
      <selection/>
      <selection pane="topRight"/>
      <selection pane="bottomLeft"/>
      <selection pane="bottomRight" activeCell="B25" sqref="B25:I25"/>
    </sheetView>
  </sheetViews>
  <sheetFormatPr defaultColWidth="9" defaultRowHeight="17.4"/>
  <cols>
    <col min="1" max="1" width="8.33333333333333" style="4" customWidth="1"/>
    <col min="2" max="2" width="19.8888888888889" style="4" customWidth="1"/>
    <col min="3" max="4" width="13.1111111111111" style="4" customWidth="1"/>
    <col min="5" max="5" width="19.8888888888889" style="4" customWidth="1"/>
    <col min="6" max="6" width="17.4444444444444" style="4" customWidth="1"/>
    <col min="7" max="7" width="13.1111111111111" style="4" customWidth="1"/>
    <col min="8" max="11" width="10.6666666666667" style="4" customWidth="1"/>
    <col min="12" max="12" width="15.6666666666667" style="4" customWidth="1"/>
    <col min="13" max="13" width="13.1111111111111" style="4" customWidth="1"/>
    <col min="14" max="14" width="20.6666666666667" style="4" customWidth="1"/>
    <col min="15" max="15" width="18.1111111111111" style="4" customWidth="1"/>
    <col min="16" max="16" width="15.6666666666667" style="4" customWidth="1"/>
    <col min="17" max="19" width="10.6666666666667" style="4" customWidth="1"/>
    <col min="20" max="20" width="8.33333333333333" style="4" customWidth="1"/>
    <col min="21" max="16384" width="9" style="4"/>
  </cols>
  <sheetData>
    <row r="1" spans="1:19">
      <c r="A1" s="4" t="s">
        <v>0</v>
      </c>
      <c r="B1" s="4" t="s">
        <v>1</v>
      </c>
      <c r="C1" s="4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4" t="s">
        <v>18</v>
      </c>
      <c r="R2" s="4" t="s">
        <v>19</v>
      </c>
      <c r="S2" s="4" t="s">
        <v>20</v>
      </c>
    </row>
    <row r="3" spans="1:19">
      <c r="A3" s="4">
        <v>0</v>
      </c>
      <c r="B3" s="4" t="s">
        <v>21</v>
      </c>
      <c r="C3" s="4">
        <f>VLOOKUP(C22,'!副表'!$C:$D,2,0)</f>
        <v>0</v>
      </c>
      <c r="D3" s="4">
        <f>VLOOKUP(D22,'!副表'!$C:$D,2,0)</f>
        <v>0</v>
      </c>
      <c r="E3" s="4">
        <f>VLOOKUP(E22,'!副表'!$C:$D,2,0)</f>
        <v>0</v>
      </c>
      <c r="F3" s="4">
        <f>VLOOKUP(F22,'!副表'!$C:$D,2,0)</f>
        <v>0</v>
      </c>
      <c r="G3" s="4">
        <f>VLOOKUP(G22,'!副表'!$C:$D,2,0)</f>
        <v>0</v>
      </c>
      <c r="H3" s="4">
        <f>VLOOKUP(H22,'!副表'!$C:$D,2,0)</f>
        <v>0</v>
      </c>
      <c r="I3" s="4">
        <f>VLOOKUP(I22,'!副表'!$C:$D,2,0)</f>
        <v>0</v>
      </c>
      <c r="J3" s="4">
        <f>VLOOKUP(J22,'!副表'!$C:$D,2,0)</f>
        <v>0</v>
      </c>
      <c r="K3" s="4">
        <f>VLOOKUP(K22,'!副表'!$C:$D,2,0)</f>
        <v>0</v>
      </c>
      <c r="L3" s="4">
        <f>VLOOKUP(L22,'!副表'!$C:$D,2,0)</f>
        <v>0</v>
      </c>
      <c r="M3" s="4">
        <f>VLOOKUP(M22,'!副表'!$C:$D,2,0)</f>
        <v>0</v>
      </c>
      <c r="N3" s="4">
        <f>VLOOKUP(N22,'!副表'!$C:$D,2,0)</f>
        <v>0</v>
      </c>
      <c r="O3" s="4">
        <f>VLOOKUP(O22,'!副表'!$C:$D,2,0)</f>
        <v>0</v>
      </c>
      <c r="P3" s="4">
        <f>VLOOKUP(P22,'!副表'!$C:$D,2,0)</f>
        <v>0</v>
      </c>
      <c r="Q3" s="4">
        <f>VLOOKUP(Q22,'!副表'!$C:$D,2,0)</f>
        <v>0</v>
      </c>
      <c r="R3" s="4">
        <f>VLOOKUP(R22,'!副表'!$C:$D,2,0)</f>
        <v>0</v>
      </c>
      <c r="S3" s="4">
        <f>VLOOKUP(S22,'!副表'!$C:$D,2,0)</f>
        <v>0</v>
      </c>
    </row>
    <row r="4" spans="1:19">
      <c r="A4" s="5">
        <v>1</v>
      </c>
      <c r="B4" s="5" t="s">
        <v>21</v>
      </c>
      <c r="C4" s="4" t="e">
        <f>VLOOKUP(C23,'!副表'!$C:$D,2,0)</f>
        <v>#N/A</v>
      </c>
      <c r="D4" s="4">
        <f>VLOOKUP(D23,'!副表'!$C:$D,2,0)</f>
        <v>0</v>
      </c>
      <c r="E4" s="4">
        <f>VLOOKUP(E23,'!副表'!$C:$D,2,0)</f>
        <v>0</v>
      </c>
      <c r="F4" s="4">
        <f>VLOOKUP(F23,'!副表'!$C:$D,2,0)</f>
        <v>0</v>
      </c>
      <c r="G4" s="4">
        <f>VLOOKUP(G23,'!副表'!$C:$D,2,0)</f>
        <v>0</v>
      </c>
      <c r="H4" s="4">
        <f>VLOOKUP(H23,'!副表'!$C:$D,2,0)</f>
        <v>0</v>
      </c>
      <c r="I4" s="4">
        <f>VLOOKUP(I23,'!副表'!$C:$D,2,0)</f>
        <v>0</v>
      </c>
      <c r="J4" s="4">
        <f>VLOOKUP(J23,'!副表'!$C:$D,2,0)</f>
        <v>1</v>
      </c>
      <c r="K4" s="4">
        <f>VLOOKUP(K23,'!副表'!$C:$D,2,0)</f>
        <v>0</v>
      </c>
      <c r="L4" s="4">
        <f>VLOOKUP(L23,'!副表'!$C:$D,2,0)</f>
        <v>1</v>
      </c>
      <c r="M4" s="4">
        <f>VLOOKUP(M23,'!副表'!$C:$D,2,0)</f>
        <v>0</v>
      </c>
      <c r="N4" s="4">
        <f>VLOOKUP(N23,'!副表'!$C:$D,2,0)</f>
        <v>0</v>
      </c>
      <c r="O4" s="4">
        <f>VLOOKUP(O23,'!副表'!$C:$D,2,0)</f>
        <v>0</v>
      </c>
      <c r="P4" s="4">
        <f>VLOOKUP(P23,'!副表'!$C:$D,2,0)</f>
        <v>0</v>
      </c>
      <c r="Q4" s="4">
        <f>VLOOKUP(Q23,'!副表'!$C:$D,2,0)</f>
        <v>0</v>
      </c>
      <c r="R4" s="4">
        <f>VLOOKUP(R23,'!副表'!$C:$D,2,0)</f>
        <v>0</v>
      </c>
      <c r="S4" s="4">
        <f>VLOOKUP(S23,'!副表'!$C:$D,2,0)</f>
        <v>0</v>
      </c>
    </row>
    <row r="5" spans="1:19">
      <c r="A5" s="5">
        <v>2</v>
      </c>
      <c r="B5" s="5" t="s">
        <v>21</v>
      </c>
      <c r="C5" s="4" t="e">
        <f>VLOOKUP(C24,'!副表'!$C:$D,2,0)</f>
        <v>#N/A</v>
      </c>
      <c r="D5" s="4" t="e">
        <f>VLOOKUP(D24,'!副表'!$C:$D,2,0)</f>
        <v>#N/A</v>
      </c>
      <c r="E5" s="4">
        <f>VLOOKUP(E24,'!副表'!$C:$D,2,0)</f>
        <v>0</v>
      </c>
      <c r="F5" s="4">
        <f>VLOOKUP(F24,'!副表'!$C:$D,2,0)</f>
        <v>0</v>
      </c>
      <c r="G5" s="4">
        <f>VLOOKUP(G24,'!副表'!$C:$D,2,0)</f>
        <v>0</v>
      </c>
      <c r="H5" s="4">
        <f>VLOOKUP(H24,'!副表'!$C:$D,2,0)</f>
        <v>0</v>
      </c>
      <c r="I5" s="4">
        <f>VLOOKUP(I24,'!副表'!$C:$D,2,0)</f>
        <v>0</v>
      </c>
      <c r="J5" s="4">
        <f>VLOOKUP(J24,'!副表'!$C:$D,2,0)</f>
        <v>1</v>
      </c>
      <c r="K5" s="4">
        <f>VLOOKUP(K24,'!副表'!$C:$D,2,0)</f>
        <v>0</v>
      </c>
      <c r="L5" s="4">
        <f>VLOOKUP(L24,'!副表'!$C:$D,2,0)</f>
        <v>0</v>
      </c>
      <c r="M5" s="4">
        <f>VLOOKUP(M24,'!副表'!$C:$D,2,0)</f>
        <v>0</v>
      </c>
      <c r="N5" s="4">
        <f>VLOOKUP(N24,'!副表'!$C:$D,2,0)</f>
        <v>0</v>
      </c>
      <c r="O5" s="4">
        <f>VLOOKUP(O24,'!副表'!$C:$D,2,0)</f>
        <v>0</v>
      </c>
      <c r="P5" s="4">
        <f>VLOOKUP(P24,'!副表'!$C:$D,2,0)</f>
        <v>0</v>
      </c>
      <c r="Q5" s="4">
        <f>VLOOKUP(Q24,'!副表'!$C:$D,2,0)</f>
        <v>0</v>
      </c>
      <c r="R5" s="4">
        <f>VLOOKUP(R24,'!副表'!$C:$D,2,0)</f>
        <v>0</v>
      </c>
      <c r="S5" s="4">
        <f>VLOOKUP(S24,'!副表'!$C:$D,2,0)</f>
        <v>0</v>
      </c>
    </row>
    <row r="6" spans="1:19">
      <c r="A6" s="5">
        <v>3</v>
      </c>
      <c r="B6" s="5" t="s">
        <v>21</v>
      </c>
      <c r="C6" s="4" t="e">
        <f>VLOOKUP(C25,'!副表'!$C:$D,2,0)</f>
        <v>#N/A</v>
      </c>
      <c r="D6" s="4" t="e">
        <f>VLOOKUP(D25,'!副表'!$C:$D,2,0)</f>
        <v>#N/A</v>
      </c>
      <c r="E6" s="4" t="e">
        <f>VLOOKUP(E25,'!副表'!$C:$D,2,0)</f>
        <v>#N/A</v>
      </c>
      <c r="F6" s="4">
        <f>VLOOKUP(F25,'!副表'!$C:$D,2,0)</f>
        <v>1</v>
      </c>
      <c r="G6" s="4">
        <f>VLOOKUP(G25,'!副表'!$C:$D,2,0)</f>
        <v>0</v>
      </c>
      <c r="H6" s="4">
        <f>VLOOKUP(H25,'!副表'!$C:$D,2,0)</f>
        <v>0</v>
      </c>
      <c r="I6" s="4">
        <f>VLOOKUP(I25,'!副表'!$C:$D,2,0)</f>
        <v>1</v>
      </c>
      <c r="J6" s="4">
        <f>VLOOKUP(J25,'!副表'!$C:$D,2,0)</f>
        <v>0</v>
      </c>
      <c r="K6" s="4">
        <f>VLOOKUP(K25,'!副表'!$C:$D,2,0)</f>
        <v>0</v>
      </c>
      <c r="L6" s="4">
        <f>VLOOKUP(L25,'!副表'!$C:$D,2,0)</f>
        <v>0</v>
      </c>
      <c r="M6" s="4">
        <f>VLOOKUP(M25,'!副表'!$C:$D,2,0)</f>
        <v>0</v>
      </c>
      <c r="N6" s="4">
        <f>VLOOKUP(N25,'!副表'!$C:$D,2,0)</f>
        <v>0</v>
      </c>
      <c r="O6" s="4">
        <f>VLOOKUP(O25,'!副表'!$C:$D,2,0)</f>
        <v>0</v>
      </c>
      <c r="P6" s="4">
        <f>VLOOKUP(P25,'!副表'!$C:$D,2,0)</f>
        <v>0</v>
      </c>
      <c r="Q6" s="4">
        <f>VLOOKUP(Q25,'!副表'!$C:$D,2,0)</f>
        <v>0</v>
      </c>
      <c r="R6" s="4">
        <f>VLOOKUP(R25,'!副表'!$C:$D,2,0)</f>
        <v>0</v>
      </c>
      <c r="S6" s="4">
        <f>VLOOKUP(S25,'!副表'!$C:$D,2,0)</f>
        <v>0</v>
      </c>
    </row>
    <row r="7" spans="1:19">
      <c r="A7" s="5">
        <v>4</v>
      </c>
      <c r="B7" s="5" t="s">
        <v>21</v>
      </c>
      <c r="C7" s="4" t="e">
        <f>VLOOKUP(C26,'!副表'!$C:$D,2,0)</f>
        <v>#N/A</v>
      </c>
      <c r="D7" s="4" t="e">
        <f>VLOOKUP(D26,'!副表'!$C:$D,2,0)</f>
        <v>#N/A</v>
      </c>
      <c r="E7" s="4" t="e">
        <f>VLOOKUP(E26,'!副表'!$C:$D,2,0)</f>
        <v>#N/A</v>
      </c>
      <c r="F7" s="4" t="e">
        <f>VLOOKUP(F26,'!副表'!$C:$D,2,0)</f>
        <v>#N/A</v>
      </c>
      <c r="G7" s="4">
        <f>VLOOKUP(G26,'!副表'!$C:$D,2,0)</f>
        <v>0</v>
      </c>
      <c r="H7" s="4">
        <f>VLOOKUP(H26,'!副表'!$C:$D,2,0)</f>
        <v>0</v>
      </c>
      <c r="I7" s="4">
        <f>VLOOKUP(I26,'!副表'!$C:$D,2,0)</f>
        <v>0</v>
      </c>
      <c r="J7" s="4">
        <f>VLOOKUP(J26,'!副表'!$C:$D,2,0)</f>
        <v>1</v>
      </c>
      <c r="K7" s="4">
        <f>VLOOKUP(K26,'!副表'!$C:$D,2,0)</f>
        <v>0</v>
      </c>
      <c r="L7" s="4">
        <f>VLOOKUP(L26,'!副表'!$C:$D,2,0)</f>
        <v>0</v>
      </c>
      <c r="M7" s="4">
        <f>VLOOKUP(M26,'!副表'!$C:$D,2,0)</f>
        <v>0</v>
      </c>
      <c r="N7" s="4">
        <f>VLOOKUP(N26,'!副表'!$C:$D,2,0)</f>
        <v>0</v>
      </c>
      <c r="O7" s="4">
        <f>VLOOKUP(O26,'!副表'!$C:$D,2,0)</f>
        <v>0</v>
      </c>
      <c r="P7" s="4">
        <f>VLOOKUP(P26,'!副表'!$C:$D,2,0)</f>
        <v>0</v>
      </c>
      <c r="Q7" s="4">
        <f>VLOOKUP(Q26,'!副表'!$C:$D,2,0)</f>
        <v>0</v>
      </c>
      <c r="R7" s="4">
        <f>VLOOKUP(R26,'!副表'!$C:$D,2,0)</f>
        <v>0</v>
      </c>
      <c r="S7" s="4">
        <f>VLOOKUP(S26,'!副表'!$C:$D,2,0)</f>
        <v>0</v>
      </c>
    </row>
    <row r="8" spans="1:19">
      <c r="A8" s="5">
        <v>5</v>
      </c>
      <c r="B8" s="5" t="s">
        <v>21</v>
      </c>
      <c r="C8" s="4" t="e">
        <f>VLOOKUP(C27,'!副表'!$C:$D,2,0)</f>
        <v>#N/A</v>
      </c>
      <c r="D8" s="4" t="e">
        <f>VLOOKUP(D27,'!副表'!$C:$D,2,0)</f>
        <v>#N/A</v>
      </c>
      <c r="E8" s="4" t="e">
        <f>VLOOKUP(E27,'!副表'!$C:$D,2,0)</f>
        <v>#N/A</v>
      </c>
      <c r="F8" s="4" t="e">
        <f>VLOOKUP(F27,'!副表'!$C:$D,2,0)</f>
        <v>#N/A</v>
      </c>
      <c r="G8" s="4" t="e">
        <f>VLOOKUP(G27,'!副表'!$C:$D,2,0)</f>
        <v>#N/A</v>
      </c>
      <c r="H8" s="4">
        <f>VLOOKUP(H27,'!副表'!$C:$D,2,0)</f>
        <v>0</v>
      </c>
      <c r="I8" s="4">
        <f>VLOOKUP(I27,'!副表'!$C:$D,2,0)</f>
        <v>0</v>
      </c>
      <c r="J8" s="4">
        <f>VLOOKUP(J27,'!副表'!$C:$D,2,0)</f>
        <v>0</v>
      </c>
      <c r="K8" s="4">
        <f>VLOOKUP(K27,'!副表'!$C:$D,2,0)</f>
        <v>0</v>
      </c>
      <c r="L8" s="4">
        <f>VLOOKUP(L27,'!副表'!$C:$D,2,0)</f>
        <v>0</v>
      </c>
      <c r="M8" s="4">
        <f>VLOOKUP(M27,'!副表'!$C:$D,2,0)</f>
        <v>0</v>
      </c>
      <c r="N8" s="4">
        <f>VLOOKUP(N27,'!副表'!$C:$D,2,0)</f>
        <v>0</v>
      </c>
      <c r="O8" s="4">
        <f>VLOOKUP(O27,'!副表'!$C:$D,2,0)</f>
        <v>0</v>
      </c>
      <c r="P8" s="4">
        <f>VLOOKUP(P27,'!副表'!$C:$D,2,0)</f>
        <v>0</v>
      </c>
      <c r="Q8" s="4">
        <f>VLOOKUP(Q27,'!副表'!$C:$D,2,0)</f>
        <v>0</v>
      </c>
      <c r="R8" s="4">
        <f>VLOOKUP(R27,'!副表'!$C:$D,2,0)</f>
        <v>0</v>
      </c>
      <c r="S8" s="4">
        <f>VLOOKUP(S27,'!副表'!$C:$D,2,0)</f>
        <v>0</v>
      </c>
    </row>
    <row r="9" spans="1:19">
      <c r="A9" s="5">
        <v>6</v>
      </c>
      <c r="B9" s="5" t="s">
        <v>21</v>
      </c>
      <c r="C9" s="4" t="e">
        <f>VLOOKUP(C28,'!副表'!$C:$D,2,0)</f>
        <v>#N/A</v>
      </c>
      <c r="D9" s="4" t="e">
        <f>VLOOKUP(D28,'!副表'!$C:$D,2,0)</f>
        <v>#N/A</v>
      </c>
      <c r="E9" s="4" t="e">
        <f>VLOOKUP(E28,'!副表'!$C:$D,2,0)</f>
        <v>#N/A</v>
      </c>
      <c r="F9" s="4" t="e">
        <f>VLOOKUP(F28,'!副表'!$C:$D,2,0)</f>
        <v>#N/A</v>
      </c>
      <c r="G9" s="4" t="e">
        <f>VLOOKUP(G28,'!副表'!$C:$D,2,0)</f>
        <v>#N/A</v>
      </c>
      <c r="H9" s="4" t="e">
        <f>VLOOKUP(H28,'!副表'!$C:$D,2,0)</f>
        <v>#N/A</v>
      </c>
      <c r="I9" s="4">
        <f>VLOOKUP(I28,'!副表'!$C:$D,2,0)</f>
        <v>1</v>
      </c>
      <c r="J9" s="4">
        <f>VLOOKUP(J28,'!副表'!$C:$D,2,0)</f>
        <v>0</v>
      </c>
      <c r="K9" s="4">
        <f>VLOOKUP(K28,'!副表'!$C:$D,2,0)</f>
        <v>0</v>
      </c>
      <c r="L9" s="4">
        <f>VLOOKUP(L28,'!副表'!$C:$D,2,0)</f>
        <v>0</v>
      </c>
      <c r="M9" s="4">
        <f>VLOOKUP(M28,'!副表'!$C:$D,2,0)</f>
        <v>1</v>
      </c>
      <c r="N9" s="4">
        <f>VLOOKUP(N28,'!副表'!$C:$D,2,0)</f>
        <v>1</v>
      </c>
      <c r="O9" s="4">
        <f>VLOOKUP(O28,'!副表'!$C:$D,2,0)</f>
        <v>0</v>
      </c>
      <c r="P9" s="4">
        <f>VLOOKUP(P28,'!副表'!$C:$D,2,0)</f>
        <v>0</v>
      </c>
      <c r="Q9" s="4">
        <f>VLOOKUP(Q28,'!副表'!$C:$D,2,0)</f>
        <v>1</v>
      </c>
      <c r="R9" s="4">
        <f>VLOOKUP(R28,'!副表'!$C:$D,2,0)</f>
        <v>0</v>
      </c>
      <c r="S9" s="4">
        <f>VLOOKUP(S28,'!副表'!$C:$D,2,0)</f>
        <v>0</v>
      </c>
    </row>
    <row r="10" spans="1:19">
      <c r="A10" s="5">
        <v>7</v>
      </c>
      <c r="B10" s="5" t="s">
        <v>21</v>
      </c>
      <c r="C10" s="4" t="e">
        <f>VLOOKUP(C29,'!副表'!$C:$D,2,0)</f>
        <v>#N/A</v>
      </c>
      <c r="D10" s="4" t="e">
        <f>VLOOKUP(D29,'!副表'!$C:$D,2,0)</f>
        <v>#N/A</v>
      </c>
      <c r="E10" s="4" t="e">
        <f>VLOOKUP(E29,'!副表'!$C:$D,2,0)</f>
        <v>#N/A</v>
      </c>
      <c r="F10" s="4" t="e">
        <f>VLOOKUP(F29,'!副表'!$C:$D,2,0)</f>
        <v>#N/A</v>
      </c>
      <c r="G10" s="4" t="e">
        <f>VLOOKUP(G29,'!副表'!$C:$D,2,0)</f>
        <v>#N/A</v>
      </c>
      <c r="H10" s="4" t="e">
        <f>VLOOKUP(H29,'!副表'!$C:$D,2,0)</f>
        <v>#N/A</v>
      </c>
      <c r="I10" s="4" t="e">
        <f>VLOOKUP(I29,'!副表'!$C:$D,2,0)</f>
        <v>#N/A</v>
      </c>
      <c r="J10" s="4">
        <f>VLOOKUP(J29,'!副表'!$C:$D,2,0)</f>
        <v>1</v>
      </c>
      <c r="K10" s="4">
        <f>VLOOKUP(K29,'!副表'!$C:$D,2,0)</f>
        <v>0</v>
      </c>
      <c r="L10" s="4">
        <f>VLOOKUP(L29,'!副表'!$C:$D,2,0)</f>
        <v>0</v>
      </c>
      <c r="M10" s="4">
        <f>VLOOKUP(M29,'!副表'!$C:$D,2,0)</f>
        <v>1</v>
      </c>
      <c r="N10" s="4">
        <f>VLOOKUP(N29,'!副表'!$C:$D,2,0)</f>
        <v>0</v>
      </c>
      <c r="O10" s="4">
        <f>VLOOKUP(O29,'!副表'!$C:$D,2,0)</f>
        <v>1</v>
      </c>
      <c r="P10" s="4">
        <f>VLOOKUP(P29,'!副表'!$C:$D,2,0)</f>
        <v>0</v>
      </c>
      <c r="Q10" s="4">
        <f>VLOOKUP(Q29,'!副表'!$C:$D,2,0)</f>
        <v>0</v>
      </c>
      <c r="R10" s="4">
        <f>VLOOKUP(R29,'!副表'!$C:$D,2,0)</f>
        <v>0</v>
      </c>
      <c r="S10" s="4">
        <f>VLOOKUP(S29,'!副表'!$C:$D,2,0)</f>
        <v>1</v>
      </c>
    </row>
    <row r="11" spans="1:19">
      <c r="A11" s="5">
        <v>8</v>
      </c>
      <c r="B11" s="5" t="s">
        <v>21</v>
      </c>
      <c r="C11" s="4" t="e">
        <f>VLOOKUP(C30,'!副表'!$C:$D,2,0)</f>
        <v>#N/A</v>
      </c>
      <c r="D11" s="4" t="e">
        <f>VLOOKUP(D30,'!副表'!$C:$D,2,0)</f>
        <v>#N/A</v>
      </c>
      <c r="E11" s="4" t="e">
        <f>VLOOKUP(E30,'!副表'!$C:$D,2,0)</f>
        <v>#N/A</v>
      </c>
      <c r="F11" s="4" t="e">
        <f>VLOOKUP(F30,'!副表'!$C:$D,2,0)</f>
        <v>#N/A</v>
      </c>
      <c r="G11" s="4" t="e">
        <f>VLOOKUP(G30,'!副表'!$C:$D,2,0)</f>
        <v>#N/A</v>
      </c>
      <c r="H11" s="4" t="e">
        <f>VLOOKUP(H30,'!副表'!$C:$D,2,0)</f>
        <v>#N/A</v>
      </c>
      <c r="I11" s="4" t="e">
        <f>VLOOKUP(I30,'!副表'!$C:$D,2,0)</f>
        <v>#N/A</v>
      </c>
      <c r="J11" s="4" t="e">
        <f>VLOOKUP(J30,'!副表'!$C:$D,2,0)</f>
        <v>#N/A</v>
      </c>
      <c r="K11" s="4">
        <f>VLOOKUP(K30,'!副表'!$C:$D,2,0)</f>
        <v>0</v>
      </c>
      <c r="L11" s="4">
        <f>VLOOKUP(L30,'!副表'!$C:$D,2,0)</f>
        <v>0</v>
      </c>
      <c r="M11" s="4">
        <f>VLOOKUP(M30,'!副表'!$C:$D,2,0)</f>
        <v>1</v>
      </c>
      <c r="N11" s="4">
        <f>VLOOKUP(N30,'!副表'!$C:$D,2,0)</f>
        <v>0</v>
      </c>
      <c r="O11" s="4">
        <f>VLOOKUP(O30,'!副表'!$C:$D,2,0)</f>
        <v>0</v>
      </c>
      <c r="P11" s="4">
        <f>VLOOKUP(P30,'!副表'!$C:$D,2,0)</f>
        <v>1</v>
      </c>
      <c r="Q11" s="4">
        <f>VLOOKUP(Q30,'!副表'!$C:$D,2,0)</f>
        <v>0</v>
      </c>
      <c r="R11" s="4">
        <f>VLOOKUP(R30,'!副表'!$C:$D,2,0)</f>
        <v>0</v>
      </c>
      <c r="S11" s="4">
        <f>VLOOKUP(S30,'!副表'!$C:$D,2,0)</f>
        <v>0</v>
      </c>
    </row>
    <row r="12" spans="1:19">
      <c r="A12" s="5">
        <v>9</v>
      </c>
      <c r="B12" s="5" t="s">
        <v>21</v>
      </c>
      <c r="C12" s="4" t="e">
        <f>VLOOKUP(C31,'!副表'!$C:$D,2,0)</f>
        <v>#N/A</v>
      </c>
      <c r="D12" s="4" t="e">
        <f>VLOOKUP(D31,'!副表'!$C:$D,2,0)</f>
        <v>#N/A</v>
      </c>
      <c r="E12" s="4" t="e">
        <f>VLOOKUP(E31,'!副表'!$C:$D,2,0)</f>
        <v>#N/A</v>
      </c>
      <c r="F12" s="4" t="e">
        <f>VLOOKUP(F31,'!副表'!$C:$D,2,0)</f>
        <v>#N/A</v>
      </c>
      <c r="G12" s="4" t="e">
        <f>VLOOKUP(G31,'!副表'!$C:$D,2,0)</f>
        <v>#N/A</v>
      </c>
      <c r="H12" s="4" t="e">
        <f>VLOOKUP(H31,'!副表'!$C:$D,2,0)</f>
        <v>#N/A</v>
      </c>
      <c r="I12" s="4" t="e">
        <f>VLOOKUP(I31,'!副表'!$C:$D,2,0)</f>
        <v>#N/A</v>
      </c>
      <c r="J12" s="4" t="e">
        <f>VLOOKUP(J31,'!副表'!$C:$D,2,0)</f>
        <v>#N/A</v>
      </c>
      <c r="K12" s="4" t="e">
        <f>VLOOKUP(K31,'!副表'!$C:$D,2,0)</f>
        <v>#N/A</v>
      </c>
      <c r="L12" s="4">
        <f>VLOOKUP(L31,'!副表'!$C:$D,2,0)</f>
        <v>0</v>
      </c>
      <c r="M12" s="4">
        <f>VLOOKUP(M31,'!副表'!$C:$D,2,0)</f>
        <v>0</v>
      </c>
      <c r="N12" s="4">
        <f>VLOOKUP(N31,'!副表'!$C:$D,2,0)</f>
        <v>0</v>
      </c>
      <c r="O12" s="4">
        <f>VLOOKUP(O31,'!副表'!$C:$D,2,0)</f>
        <v>0</v>
      </c>
      <c r="P12" s="4">
        <f>VLOOKUP(P31,'!副表'!$C:$D,2,0)</f>
        <v>0</v>
      </c>
      <c r="Q12" s="4">
        <f>VLOOKUP(Q31,'!副表'!$C:$D,2,0)</f>
        <v>0</v>
      </c>
      <c r="R12" s="4">
        <f>VLOOKUP(R31,'!副表'!$C:$D,2,0)</f>
        <v>0</v>
      </c>
      <c r="S12" s="4">
        <f>VLOOKUP(S31,'!副表'!$C:$D,2,0)</f>
        <v>0</v>
      </c>
    </row>
    <row r="13" spans="1:19">
      <c r="A13" s="5">
        <v>10</v>
      </c>
      <c r="B13" s="5" t="s">
        <v>21</v>
      </c>
      <c r="C13" s="4" t="e">
        <f>VLOOKUP(C32,'!副表'!$C:$D,2,0)</f>
        <v>#N/A</v>
      </c>
      <c r="D13" s="4" t="e">
        <f>VLOOKUP(D32,'!副表'!$C:$D,2,0)</f>
        <v>#N/A</v>
      </c>
      <c r="E13" s="4" t="e">
        <f>VLOOKUP(E32,'!副表'!$C:$D,2,0)</f>
        <v>#N/A</v>
      </c>
      <c r="F13" s="4" t="e">
        <f>VLOOKUP(F32,'!副表'!$C:$D,2,0)</f>
        <v>#N/A</v>
      </c>
      <c r="G13" s="4" t="e">
        <f>VLOOKUP(G32,'!副表'!$C:$D,2,0)</f>
        <v>#N/A</v>
      </c>
      <c r="H13" s="4" t="e">
        <f>VLOOKUP(H32,'!副表'!$C:$D,2,0)</f>
        <v>#N/A</v>
      </c>
      <c r="I13" s="4" t="e">
        <f>VLOOKUP(I32,'!副表'!$C:$D,2,0)</f>
        <v>#N/A</v>
      </c>
      <c r="J13" s="4" t="e">
        <f>VLOOKUP(J32,'!副表'!$C:$D,2,0)</f>
        <v>#N/A</v>
      </c>
      <c r="K13" s="4" t="e">
        <f>VLOOKUP(K32,'!副表'!$C:$D,2,0)</f>
        <v>#N/A</v>
      </c>
      <c r="L13" s="4" t="e">
        <f>VLOOKUP(L32,'!副表'!$C:$D,2,0)</f>
        <v>#N/A</v>
      </c>
      <c r="M13" s="4">
        <f>VLOOKUP(M32,'!副表'!$C:$D,2,0)</f>
        <v>0</v>
      </c>
      <c r="N13" s="4">
        <f>VLOOKUP(N32,'!副表'!$C:$D,2,0)</f>
        <v>0</v>
      </c>
      <c r="O13" s="4">
        <f>VLOOKUP(O32,'!副表'!$C:$D,2,0)</f>
        <v>0</v>
      </c>
      <c r="P13" s="4">
        <f>VLOOKUP(P32,'!副表'!$C:$D,2,0)</f>
        <v>0</v>
      </c>
      <c r="Q13" s="4">
        <f>VLOOKUP(Q32,'!副表'!$C:$D,2,0)</f>
        <v>0</v>
      </c>
      <c r="R13" s="4">
        <f>VLOOKUP(R32,'!副表'!$C:$D,2,0)</f>
        <v>0</v>
      </c>
      <c r="S13" s="4">
        <f>VLOOKUP(S32,'!副表'!$C:$D,2,0)</f>
        <v>1</v>
      </c>
    </row>
    <row r="14" spans="1:19">
      <c r="A14" s="5">
        <v>11</v>
      </c>
      <c r="B14" s="5" t="s">
        <v>21</v>
      </c>
      <c r="C14" s="4" t="e">
        <f>VLOOKUP(C33,'!副表'!$C:$D,2,0)</f>
        <v>#N/A</v>
      </c>
      <c r="D14" s="4" t="e">
        <f>VLOOKUP(D33,'!副表'!$C:$D,2,0)</f>
        <v>#N/A</v>
      </c>
      <c r="E14" s="4" t="e">
        <f>VLOOKUP(E33,'!副表'!$C:$D,2,0)</f>
        <v>#N/A</v>
      </c>
      <c r="F14" s="4" t="e">
        <f>VLOOKUP(F33,'!副表'!$C:$D,2,0)</f>
        <v>#N/A</v>
      </c>
      <c r="G14" s="4" t="e">
        <f>VLOOKUP(G33,'!副表'!$C:$D,2,0)</f>
        <v>#N/A</v>
      </c>
      <c r="H14" s="4" t="e">
        <f>VLOOKUP(H33,'!副表'!$C:$D,2,0)</f>
        <v>#N/A</v>
      </c>
      <c r="I14" s="4" t="e">
        <f>VLOOKUP(I33,'!副表'!$C:$D,2,0)</f>
        <v>#N/A</v>
      </c>
      <c r="J14" s="4" t="e">
        <f>VLOOKUP(J33,'!副表'!$C:$D,2,0)</f>
        <v>#N/A</v>
      </c>
      <c r="K14" s="4" t="e">
        <f>VLOOKUP(K33,'!副表'!$C:$D,2,0)</f>
        <v>#N/A</v>
      </c>
      <c r="L14" s="4" t="e">
        <f>VLOOKUP(L33,'!副表'!$C:$D,2,0)</f>
        <v>#N/A</v>
      </c>
      <c r="M14" s="4" t="e">
        <f>VLOOKUP(M33,'!副表'!$C:$D,2,0)</f>
        <v>#N/A</v>
      </c>
      <c r="N14" s="4">
        <f>VLOOKUP(N33,'!副表'!$C:$D,2,0)</f>
        <v>0</v>
      </c>
      <c r="O14" s="4">
        <f>VLOOKUP(O33,'!副表'!$C:$D,2,0)</f>
        <v>0</v>
      </c>
      <c r="P14" s="4">
        <f>VLOOKUP(P33,'!副表'!$C:$D,2,0)</f>
        <v>0</v>
      </c>
      <c r="Q14" s="4">
        <f>VLOOKUP(Q33,'!副表'!$C:$D,2,0)</f>
        <v>0</v>
      </c>
      <c r="R14" s="4">
        <f>VLOOKUP(R33,'!副表'!$C:$D,2,0)</f>
        <v>0</v>
      </c>
      <c r="S14" s="4">
        <f>VLOOKUP(S33,'!副表'!$C:$D,2,0)</f>
        <v>0</v>
      </c>
    </row>
    <row r="15" spans="1:19">
      <c r="A15" s="5">
        <v>12</v>
      </c>
      <c r="B15" s="5" t="s">
        <v>21</v>
      </c>
      <c r="C15" s="4" t="e">
        <f>VLOOKUP(C34,'!副表'!$C:$D,2,0)</f>
        <v>#N/A</v>
      </c>
      <c r="D15" s="4" t="e">
        <f>VLOOKUP(D34,'!副表'!$C:$D,2,0)</f>
        <v>#N/A</v>
      </c>
      <c r="E15" s="4" t="e">
        <f>VLOOKUP(E34,'!副表'!$C:$D,2,0)</f>
        <v>#N/A</v>
      </c>
      <c r="F15" s="4" t="e">
        <f>VLOOKUP(F34,'!副表'!$C:$D,2,0)</f>
        <v>#N/A</v>
      </c>
      <c r="G15" s="4" t="e">
        <f>VLOOKUP(G34,'!副表'!$C:$D,2,0)</f>
        <v>#N/A</v>
      </c>
      <c r="H15" s="4" t="e">
        <f>VLOOKUP(H34,'!副表'!$C:$D,2,0)</f>
        <v>#N/A</v>
      </c>
      <c r="I15" s="4" t="e">
        <f>VLOOKUP(I34,'!副表'!$C:$D,2,0)</f>
        <v>#N/A</v>
      </c>
      <c r="J15" s="4" t="e">
        <f>VLOOKUP(J34,'!副表'!$C:$D,2,0)</f>
        <v>#N/A</v>
      </c>
      <c r="K15" s="4" t="e">
        <f>VLOOKUP(K34,'!副表'!$C:$D,2,0)</f>
        <v>#N/A</v>
      </c>
      <c r="L15" s="4" t="e">
        <f>VLOOKUP(L34,'!副表'!$C:$D,2,0)</f>
        <v>#N/A</v>
      </c>
      <c r="M15" s="4" t="e">
        <f>VLOOKUP(M34,'!副表'!$C:$D,2,0)</f>
        <v>#N/A</v>
      </c>
      <c r="N15" s="4" t="e">
        <f>VLOOKUP(N34,'!副表'!$C:$D,2,0)</f>
        <v>#N/A</v>
      </c>
      <c r="O15" s="4">
        <f>VLOOKUP(O34,'!副表'!$C:$D,2,0)</f>
        <v>0</v>
      </c>
      <c r="P15" s="4">
        <f>VLOOKUP(P34,'!副表'!$C:$D,2,0)</f>
        <v>0</v>
      </c>
      <c r="Q15" s="4">
        <f>VLOOKUP(Q34,'!副表'!$C:$D,2,0)</f>
        <v>0</v>
      </c>
      <c r="R15" s="4">
        <f>VLOOKUP(R34,'!副表'!$C:$D,2,0)</f>
        <v>0</v>
      </c>
      <c r="S15" s="4">
        <f>VLOOKUP(S34,'!副表'!$C:$D,2,0)</f>
        <v>0</v>
      </c>
    </row>
    <row r="16" spans="1:19">
      <c r="A16" s="5">
        <v>13</v>
      </c>
      <c r="B16" s="5" t="s">
        <v>21</v>
      </c>
      <c r="C16" s="4" t="e">
        <f>VLOOKUP(C35,'!副表'!$C:$D,2,0)</f>
        <v>#N/A</v>
      </c>
      <c r="D16" s="4" t="e">
        <f>VLOOKUP(D35,'!副表'!$C:$D,2,0)</f>
        <v>#N/A</v>
      </c>
      <c r="E16" s="4" t="e">
        <f>VLOOKUP(E35,'!副表'!$C:$D,2,0)</f>
        <v>#N/A</v>
      </c>
      <c r="F16" s="4" t="e">
        <f>VLOOKUP(F35,'!副表'!$C:$D,2,0)</f>
        <v>#N/A</v>
      </c>
      <c r="G16" s="4" t="e">
        <f>VLOOKUP(G35,'!副表'!$C:$D,2,0)</f>
        <v>#N/A</v>
      </c>
      <c r="H16" s="4" t="e">
        <f>VLOOKUP(H35,'!副表'!$C:$D,2,0)</f>
        <v>#N/A</v>
      </c>
      <c r="I16" s="4" t="e">
        <f>VLOOKUP(I35,'!副表'!$C:$D,2,0)</f>
        <v>#N/A</v>
      </c>
      <c r="J16" s="4" t="e">
        <f>VLOOKUP(J35,'!副表'!$C:$D,2,0)</f>
        <v>#N/A</v>
      </c>
      <c r="K16" s="4" t="e">
        <f>VLOOKUP(K35,'!副表'!$C:$D,2,0)</f>
        <v>#N/A</v>
      </c>
      <c r="L16" s="4" t="e">
        <f>VLOOKUP(L35,'!副表'!$C:$D,2,0)</f>
        <v>#N/A</v>
      </c>
      <c r="M16" s="4" t="e">
        <f>VLOOKUP(M35,'!副表'!$C:$D,2,0)</f>
        <v>#N/A</v>
      </c>
      <c r="N16" s="4" t="e">
        <f>VLOOKUP(N35,'!副表'!$C:$D,2,0)</f>
        <v>#N/A</v>
      </c>
      <c r="O16" s="4" t="e">
        <f>VLOOKUP(O35,'!副表'!$C:$D,2,0)</f>
        <v>#N/A</v>
      </c>
      <c r="P16" s="4">
        <f>VLOOKUP(P35,'!副表'!$C:$D,2,0)</f>
        <v>0</v>
      </c>
      <c r="Q16" s="4">
        <f>VLOOKUP(Q35,'!副表'!$C:$D,2,0)</f>
        <v>0</v>
      </c>
      <c r="R16" s="4">
        <f>VLOOKUP(R35,'!副表'!$C:$D,2,0)</f>
        <v>1</v>
      </c>
      <c r="S16" s="4">
        <f>VLOOKUP(S35,'!副表'!$C:$D,2,0)</f>
        <v>1</v>
      </c>
    </row>
    <row r="17" spans="1:19">
      <c r="A17" s="5">
        <v>14</v>
      </c>
      <c r="B17" s="5" t="s">
        <v>21</v>
      </c>
      <c r="C17" s="4" t="e">
        <f>VLOOKUP(C36,'!副表'!$C:$D,2,0)</f>
        <v>#N/A</v>
      </c>
      <c r="D17" s="4" t="e">
        <f>VLOOKUP(D36,'!副表'!$C:$D,2,0)</f>
        <v>#N/A</v>
      </c>
      <c r="E17" s="4" t="e">
        <f>VLOOKUP(E36,'!副表'!$C:$D,2,0)</f>
        <v>#N/A</v>
      </c>
      <c r="F17" s="4" t="e">
        <f>VLOOKUP(F36,'!副表'!$C:$D,2,0)</f>
        <v>#N/A</v>
      </c>
      <c r="G17" s="4" t="e">
        <f>VLOOKUP(G36,'!副表'!$C:$D,2,0)</f>
        <v>#N/A</v>
      </c>
      <c r="H17" s="4" t="e">
        <f>VLOOKUP(H36,'!副表'!$C:$D,2,0)</f>
        <v>#N/A</v>
      </c>
      <c r="I17" s="4" t="e">
        <f>VLOOKUP(I36,'!副表'!$C:$D,2,0)</f>
        <v>#N/A</v>
      </c>
      <c r="J17" s="4" t="e">
        <f>VLOOKUP(J36,'!副表'!$C:$D,2,0)</f>
        <v>#N/A</v>
      </c>
      <c r="K17" s="4" t="e">
        <f>VLOOKUP(K36,'!副表'!$C:$D,2,0)</f>
        <v>#N/A</v>
      </c>
      <c r="L17" s="4" t="e">
        <f>VLOOKUP(L36,'!副表'!$C:$D,2,0)</f>
        <v>#N/A</v>
      </c>
      <c r="M17" s="4" t="e">
        <f>VLOOKUP(M36,'!副表'!$C:$D,2,0)</f>
        <v>#N/A</v>
      </c>
      <c r="N17" s="4" t="e">
        <f>VLOOKUP(N36,'!副表'!$C:$D,2,0)</f>
        <v>#N/A</v>
      </c>
      <c r="O17" s="4" t="e">
        <f>VLOOKUP(O36,'!副表'!$C:$D,2,0)</f>
        <v>#N/A</v>
      </c>
      <c r="P17" s="4" t="e">
        <f>VLOOKUP(P36,'!副表'!$C:$D,2,0)</f>
        <v>#N/A</v>
      </c>
      <c r="Q17" s="4">
        <f>VLOOKUP(Q36,'!副表'!$C:$D,2,0)</f>
        <v>0</v>
      </c>
      <c r="R17" s="4">
        <f>VLOOKUP(R36,'!副表'!$C:$D,2,0)</f>
        <v>0</v>
      </c>
      <c r="S17" s="4">
        <f>VLOOKUP(S36,'!副表'!$C:$D,2,0)</f>
        <v>0</v>
      </c>
    </row>
    <row r="18" spans="1:19">
      <c r="A18" s="5">
        <v>15</v>
      </c>
      <c r="B18" s="5" t="s">
        <v>21</v>
      </c>
      <c r="C18" s="4" t="e">
        <f>VLOOKUP(C37,'!副表'!$C:$D,2,0)</f>
        <v>#N/A</v>
      </c>
      <c r="D18" s="4" t="e">
        <f>VLOOKUP(D37,'!副表'!$C:$D,2,0)</f>
        <v>#N/A</v>
      </c>
      <c r="E18" s="4" t="e">
        <f>VLOOKUP(E37,'!副表'!$C:$D,2,0)</f>
        <v>#N/A</v>
      </c>
      <c r="F18" s="4" t="e">
        <f>VLOOKUP(F37,'!副表'!$C:$D,2,0)</f>
        <v>#N/A</v>
      </c>
      <c r="G18" s="4" t="e">
        <f>VLOOKUP(G37,'!副表'!$C:$D,2,0)</f>
        <v>#N/A</v>
      </c>
      <c r="H18" s="4" t="e">
        <f>VLOOKUP(H37,'!副表'!$C:$D,2,0)</f>
        <v>#N/A</v>
      </c>
      <c r="I18" s="4" t="e">
        <f>VLOOKUP(I37,'!副表'!$C:$D,2,0)</f>
        <v>#N/A</v>
      </c>
      <c r="J18" s="4" t="e">
        <f>VLOOKUP(J37,'!副表'!$C:$D,2,0)</f>
        <v>#N/A</v>
      </c>
      <c r="K18" s="4" t="e">
        <f>VLOOKUP(K37,'!副表'!$C:$D,2,0)</f>
        <v>#N/A</v>
      </c>
      <c r="L18" s="4" t="e">
        <f>VLOOKUP(L37,'!副表'!$C:$D,2,0)</f>
        <v>#N/A</v>
      </c>
      <c r="M18" s="4" t="e">
        <f>VLOOKUP(M37,'!副表'!$C:$D,2,0)</f>
        <v>#N/A</v>
      </c>
      <c r="N18" s="4" t="e">
        <f>VLOOKUP(N37,'!副表'!$C:$D,2,0)</f>
        <v>#N/A</v>
      </c>
      <c r="O18" s="4" t="e">
        <f>VLOOKUP(O37,'!副表'!$C:$D,2,0)</f>
        <v>#N/A</v>
      </c>
      <c r="P18" s="4" t="e">
        <f>VLOOKUP(P37,'!副表'!$C:$D,2,0)</f>
        <v>#N/A</v>
      </c>
      <c r="Q18" s="4" t="e">
        <f>VLOOKUP(Q37,'!副表'!$C:$D,2,0)</f>
        <v>#N/A</v>
      </c>
      <c r="R18" s="4">
        <f>VLOOKUP(R37,'!副表'!$C:$D,2,0)</f>
        <v>0</v>
      </c>
      <c r="S18" s="4">
        <f>VLOOKUP(S37,'!副表'!$C:$D,2,0)</f>
        <v>0</v>
      </c>
    </row>
    <row r="19" spans="1:19">
      <c r="A19" s="5">
        <v>16</v>
      </c>
      <c r="B19" s="5" t="s">
        <v>21</v>
      </c>
      <c r="C19" s="4" t="e">
        <f>VLOOKUP(C38,'!副表'!$C:$D,2,0)</f>
        <v>#N/A</v>
      </c>
      <c r="D19" s="4" t="e">
        <f>VLOOKUP(D38,'!副表'!$C:$D,2,0)</f>
        <v>#N/A</v>
      </c>
      <c r="E19" s="4" t="e">
        <f>VLOOKUP(E38,'!副表'!$C:$D,2,0)</f>
        <v>#N/A</v>
      </c>
      <c r="F19" s="4" t="e">
        <f>VLOOKUP(F38,'!副表'!$C:$D,2,0)</f>
        <v>#N/A</v>
      </c>
      <c r="G19" s="4" t="e">
        <f>VLOOKUP(G38,'!副表'!$C:$D,2,0)</f>
        <v>#N/A</v>
      </c>
      <c r="H19" s="4" t="e">
        <f>VLOOKUP(H38,'!副表'!$C:$D,2,0)</f>
        <v>#N/A</v>
      </c>
      <c r="I19" s="4" t="e">
        <f>VLOOKUP(I38,'!副表'!$C:$D,2,0)</f>
        <v>#N/A</v>
      </c>
      <c r="J19" s="4" t="e">
        <f>VLOOKUP(J38,'!副表'!$C:$D,2,0)</f>
        <v>#N/A</v>
      </c>
      <c r="K19" s="4" t="e">
        <f>VLOOKUP(K38,'!副表'!$C:$D,2,0)</f>
        <v>#N/A</v>
      </c>
      <c r="L19" s="4" t="e">
        <f>VLOOKUP(L38,'!副表'!$C:$D,2,0)</f>
        <v>#N/A</v>
      </c>
      <c r="M19" s="4" t="e">
        <f>VLOOKUP(M38,'!副表'!$C:$D,2,0)</f>
        <v>#N/A</v>
      </c>
      <c r="N19" s="4" t="e">
        <f>VLOOKUP(N38,'!副表'!$C:$D,2,0)</f>
        <v>#N/A</v>
      </c>
      <c r="O19" s="4" t="e">
        <f>VLOOKUP(O38,'!副表'!$C:$D,2,0)</f>
        <v>#N/A</v>
      </c>
      <c r="P19" s="4" t="e">
        <f>VLOOKUP(P38,'!副表'!$C:$D,2,0)</f>
        <v>#N/A</v>
      </c>
      <c r="Q19" s="4" t="e">
        <f>VLOOKUP(Q38,'!副表'!$C:$D,2,0)</f>
        <v>#N/A</v>
      </c>
      <c r="R19" s="4" t="e">
        <f>VLOOKUP(R38,'!副表'!$C:$D,2,0)</f>
        <v>#N/A</v>
      </c>
      <c r="S19" s="4">
        <f>VLOOKUP(S38,'!副表'!$C:$D,2,0)</f>
        <v>0</v>
      </c>
    </row>
    <row r="20" spans="1:2">
      <c r="A20" s="5"/>
      <c r="B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5"/>
      <c r="R21" s="5"/>
      <c r="S21" s="5"/>
      <c r="T21" s="5"/>
    </row>
    <row r="22" spans="1:19">
      <c r="A22" s="5">
        <v>0</v>
      </c>
      <c r="B22" s="5" t="s">
        <v>4</v>
      </c>
      <c r="C22" s="5" t="s">
        <v>22</v>
      </c>
      <c r="D22" s="5" t="s">
        <v>22</v>
      </c>
      <c r="E22" s="5" t="s">
        <v>22</v>
      </c>
      <c r="F22" s="5" t="s">
        <v>22</v>
      </c>
      <c r="G22" s="5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5" t="s">
        <v>22</v>
      </c>
      <c r="S22" s="5" t="s">
        <v>22</v>
      </c>
    </row>
    <row r="23" spans="1:19">
      <c r="A23" s="5">
        <v>1</v>
      </c>
      <c r="B23" s="5" t="s">
        <v>5</v>
      </c>
      <c r="C23" s="5"/>
      <c r="D23" s="5" t="s">
        <v>22</v>
      </c>
      <c r="E23" s="5" t="s">
        <v>22</v>
      </c>
      <c r="F23" s="5" t="s">
        <v>22</v>
      </c>
      <c r="G23" s="5" t="s">
        <v>22</v>
      </c>
      <c r="H23" s="5" t="s">
        <v>22</v>
      </c>
      <c r="I23" s="5" t="s">
        <v>22</v>
      </c>
      <c r="J23" s="5" t="s">
        <v>23</v>
      </c>
      <c r="K23" s="5" t="s">
        <v>22</v>
      </c>
      <c r="L23" s="5" t="s">
        <v>23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</row>
    <row r="24" spans="1:19">
      <c r="A24" s="5">
        <v>2</v>
      </c>
      <c r="B24" s="5" t="s">
        <v>6</v>
      </c>
      <c r="C24" s="5"/>
      <c r="D24" s="5"/>
      <c r="E24" s="5" t="s">
        <v>22</v>
      </c>
      <c r="F24" s="5" t="s">
        <v>22</v>
      </c>
      <c r="G24" s="5" t="s">
        <v>22</v>
      </c>
      <c r="H24" s="5" t="s">
        <v>22</v>
      </c>
      <c r="I24" s="5" t="s">
        <v>22</v>
      </c>
      <c r="J24" s="5" t="s">
        <v>23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</row>
    <row r="25" spans="1:19">
      <c r="A25" s="5">
        <v>3</v>
      </c>
      <c r="B25" s="4" t="s">
        <v>7</v>
      </c>
      <c r="C25" s="5"/>
      <c r="D25" s="5"/>
      <c r="E25" s="5"/>
      <c r="F25" s="5" t="s">
        <v>23</v>
      </c>
      <c r="G25" s="5" t="s">
        <v>22</v>
      </c>
      <c r="H25" s="5" t="s">
        <v>22</v>
      </c>
      <c r="I25" s="5" t="s">
        <v>23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</row>
    <row r="26" spans="1:19">
      <c r="A26" s="5">
        <v>4</v>
      </c>
      <c r="B26" s="5" t="s">
        <v>8</v>
      </c>
      <c r="C26" s="5"/>
      <c r="D26" s="5"/>
      <c r="E26" s="5"/>
      <c r="F26" s="5"/>
      <c r="G26" s="5" t="s">
        <v>22</v>
      </c>
      <c r="H26" s="5" t="s">
        <v>22</v>
      </c>
      <c r="I26" s="5" t="s">
        <v>22</v>
      </c>
      <c r="J26" s="5" t="s">
        <v>23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  <c r="S26" s="5" t="s">
        <v>22</v>
      </c>
    </row>
    <row r="27" spans="1:19">
      <c r="A27" s="5">
        <v>5</v>
      </c>
      <c r="B27" s="5" t="s">
        <v>9</v>
      </c>
      <c r="C27" s="5"/>
      <c r="D27" s="5"/>
      <c r="E27" s="5"/>
      <c r="F27" s="5"/>
      <c r="G27" s="5"/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</row>
    <row r="28" spans="1:19">
      <c r="A28" s="5">
        <v>6</v>
      </c>
      <c r="B28" s="5" t="s">
        <v>10</v>
      </c>
      <c r="C28" s="5"/>
      <c r="D28" s="5"/>
      <c r="E28" s="5"/>
      <c r="F28" s="5"/>
      <c r="G28" s="5"/>
      <c r="H28" s="5"/>
      <c r="I28" s="5" t="s">
        <v>23</v>
      </c>
      <c r="J28" s="5" t="s">
        <v>22</v>
      </c>
      <c r="K28" s="5" t="s">
        <v>22</v>
      </c>
      <c r="L28" s="5" t="s">
        <v>22</v>
      </c>
      <c r="M28" s="5" t="s">
        <v>23</v>
      </c>
      <c r="N28" s="5" t="s">
        <v>23</v>
      </c>
      <c r="O28" s="5" t="s">
        <v>22</v>
      </c>
      <c r="P28" s="5" t="s">
        <v>22</v>
      </c>
      <c r="Q28" s="5" t="s">
        <v>23</v>
      </c>
      <c r="R28" s="5" t="s">
        <v>22</v>
      </c>
      <c r="S28" s="5" t="s">
        <v>22</v>
      </c>
    </row>
    <row r="29" spans="1:19">
      <c r="A29" s="5">
        <v>7</v>
      </c>
      <c r="B29" s="5" t="s">
        <v>11</v>
      </c>
      <c r="C29" s="5"/>
      <c r="D29" s="5"/>
      <c r="E29" s="5"/>
      <c r="F29" s="5"/>
      <c r="G29" s="5"/>
      <c r="H29" s="5"/>
      <c r="I29" s="5"/>
      <c r="J29" s="5" t="s">
        <v>23</v>
      </c>
      <c r="K29" s="5" t="s">
        <v>22</v>
      </c>
      <c r="L29" s="5" t="s">
        <v>22</v>
      </c>
      <c r="M29" s="5" t="s">
        <v>23</v>
      </c>
      <c r="N29" s="5" t="s">
        <v>22</v>
      </c>
      <c r="O29" s="5" t="s">
        <v>23</v>
      </c>
      <c r="P29" s="5" t="s">
        <v>22</v>
      </c>
      <c r="Q29" s="5" t="s">
        <v>22</v>
      </c>
      <c r="R29" s="5" t="s">
        <v>22</v>
      </c>
      <c r="S29" s="5" t="s">
        <v>23</v>
      </c>
    </row>
    <row r="30" spans="1:19">
      <c r="A30" s="5">
        <v>8</v>
      </c>
      <c r="B30" s="5" t="s">
        <v>12</v>
      </c>
      <c r="C30" s="5"/>
      <c r="D30" s="5"/>
      <c r="E30" s="5"/>
      <c r="F30" s="5"/>
      <c r="G30" s="5"/>
      <c r="H30" s="5"/>
      <c r="I30" s="5"/>
      <c r="J30" s="5"/>
      <c r="K30" s="5" t="s">
        <v>22</v>
      </c>
      <c r="L30" s="5" t="s">
        <v>22</v>
      </c>
      <c r="M30" s="5" t="s">
        <v>23</v>
      </c>
      <c r="N30" s="5" t="s">
        <v>22</v>
      </c>
      <c r="O30" s="5" t="s">
        <v>22</v>
      </c>
      <c r="P30" s="5" t="s">
        <v>23</v>
      </c>
      <c r="Q30" s="5" t="s">
        <v>22</v>
      </c>
      <c r="R30" s="5" t="s">
        <v>22</v>
      </c>
      <c r="S30" s="5" t="s">
        <v>22</v>
      </c>
    </row>
    <row r="31" spans="1:19">
      <c r="A31" s="5">
        <v>9</v>
      </c>
      <c r="B31" s="5" t="s">
        <v>13</v>
      </c>
      <c r="C31" s="5"/>
      <c r="D31" s="5"/>
      <c r="E31" s="5"/>
      <c r="F31" s="5"/>
      <c r="G31" s="5"/>
      <c r="H31" s="5"/>
      <c r="I31" s="5"/>
      <c r="J31" s="5"/>
      <c r="K31" s="5"/>
      <c r="L31" s="5" t="s">
        <v>22</v>
      </c>
      <c r="M31" s="5" t="s">
        <v>22</v>
      </c>
      <c r="N31" s="5" t="s">
        <v>22</v>
      </c>
      <c r="O31" s="5" t="s">
        <v>22</v>
      </c>
      <c r="P31" s="5" t="s">
        <v>22</v>
      </c>
      <c r="Q31" s="5" t="s">
        <v>22</v>
      </c>
      <c r="R31" s="5" t="s">
        <v>22</v>
      </c>
      <c r="S31" s="5" t="s">
        <v>22</v>
      </c>
    </row>
    <row r="32" spans="1:19">
      <c r="A32" s="5">
        <v>10</v>
      </c>
      <c r="B32" s="5" t="s">
        <v>14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23</v>
      </c>
    </row>
    <row r="33" spans="1:19">
      <c r="A33" s="5">
        <v>11</v>
      </c>
      <c r="B33" s="5" t="s">
        <v>15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</row>
    <row r="34" spans="1:19">
      <c r="A34" s="5">
        <v>12</v>
      </c>
      <c r="B34" s="5" t="s">
        <v>24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</row>
    <row r="35" spans="1:19">
      <c r="A35" s="5">
        <v>13</v>
      </c>
      <c r="B35" s="5" t="s">
        <v>25</v>
      </c>
      <c r="P35" s="5" t="s">
        <v>22</v>
      </c>
      <c r="Q35" s="5" t="s">
        <v>22</v>
      </c>
      <c r="R35" s="5" t="s">
        <v>23</v>
      </c>
      <c r="S35" s="5" t="s">
        <v>23</v>
      </c>
    </row>
    <row r="36" spans="1:19">
      <c r="A36" s="5">
        <v>14</v>
      </c>
      <c r="B36" s="4" t="s">
        <v>18</v>
      </c>
      <c r="C36" s="5"/>
      <c r="D36" s="5"/>
      <c r="E36" s="5"/>
      <c r="F36" s="5"/>
      <c r="G36" s="5"/>
      <c r="H36" s="5"/>
      <c r="I36" s="5"/>
      <c r="J36" s="5"/>
      <c r="Q36" s="5" t="s">
        <v>22</v>
      </c>
      <c r="R36" s="5" t="s">
        <v>22</v>
      </c>
      <c r="S36" s="5" t="s">
        <v>22</v>
      </c>
    </row>
    <row r="37" spans="1:19">
      <c r="A37" s="5">
        <v>15</v>
      </c>
      <c r="B37" s="4" t="s">
        <v>26</v>
      </c>
      <c r="C37" s="5"/>
      <c r="D37" s="5"/>
      <c r="E37" s="5"/>
      <c r="F37" s="5"/>
      <c r="G37" s="5"/>
      <c r="H37" s="5"/>
      <c r="R37" s="5" t="s">
        <v>22</v>
      </c>
      <c r="S37" s="5" t="s">
        <v>22</v>
      </c>
    </row>
    <row r="38" spans="1:19">
      <c r="A38" s="5">
        <v>16</v>
      </c>
      <c r="B38" s="4" t="s">
        <v>20</v>
      </c>
      <c r="C38" s="5"/>
      <c r="D38" s="5"/>
      <c r="E38" s="5"/>
      <c r="F38" s="5"/>
      <c r="S38" s="5" t="s">
        <v>22</v>
      </c>
    </row>
    <row r="39" spans="1:4">
      <c r="A39" s="5"/>
      <c r="C39" s="5"/>
      <c r="D39" s="5"/>
    </row>
  </sheetData>
  <conditionalFormatting sqref="F31">
    <cfRule type="cellIs" dxfId="0" priority="15" operator="equal">
      <formula>"假"</formula>
    </cfRule>
    <cfRule type="cellIs" dxfId="1" priority="16" operator="equal">
      <formula>"真"</formula>
    </cfRule>
  </conditionalFormatting>
  <conditionalFormatting sqref="N33">
    <cfRule type="cellIs" dxfId="0" priority="13" operator="equal">
      <formula>"假"</formula>
    </cfRule>
    <cfRule type="cellIs" dxfId="1" priority="14" operator="equal">
      <formula>"真"</formula>
    </cfRule>
  </conditionalFormatting>
  <conditionalFormatting sqref="D31:D32">
    <cfRule type="cellIs" dxfId="0" priority="19" operator="equal">
      <formula>"假"</formula>
    </cfRule>
    <cfRule type="cellIs" dxfId="1" priority="20" operator="equal">
      <formula>"真"</formula>
    </cfRule>
  </conditionalFormatting>
  <conditionalFormatting sqref="C22:C30 D22:E29 F22:G28 H22:P22 H23:H27 I23:P28 P29:P35">
    <cfRule type="cellIs" dxfId="0" priority="45" operator="equal">
      <formula>"假"</formula>
    </cfRule>
    <cfRule type="cellIs" dxfId="1" priority="46" operator="equal">
      <formula>"真"</formula>
    </cfRule>
  </conditionalFormatting>
  <conditionalFormatting sqref="Q22:S35">
    <cfRule type="cellIs" dxfId="1" priority="4" operator="equal">
      <formula>"真"</formula>
    </cfRule>
    <cfRule type="cellIs" dxfId="0" priority="3" operator="equal">
      <formula>"假"</formula>
    </cfRule>
  </conditionalFormatting>
  <conditionalFormatting sqref="F29:G30 H28 H29:I29 D30:E30 C31">
    <cfRule type="cellIs" dxfId="0" priority="31" operator="equal">
      <formula>"假"</formula>
    </cfRule>
    <cfRule type="cellIs" dxfId="1" priority="32" operator="equal">
      <formula>"真"</formula>
    </cfRule>
  </conditionalFormatting>
  <conditionalFormatting sqref="J29:O29 J30:N30 M31:N32 L31 O30:O34">
    <cfRule type="cellIs" dxfId="0" priority="23" operator="equal">
      <formula>"假"</formula>
    </cfRule>
    <cfRule type="cellIs" dxfId="1" priority="24" operator="equal">
      <formula>"真"</formula>
    </cfRule>
  </conditionalFormatting>
  <conditionalFormatting sqref="H30:I30 E31:E32 C32:C33 G31">
    <cfRule type="cellIs" dxfId="0" priority="29" operator="equal">
      <formula>"假"</formula>
    </cfRule>
    <cfRule type="cellIs" dxfId="1" priority="30" operator="equal">
      <formula>"真"</formula>
    </cfRule>
  </conditionalFormatting>
  <conditionalFormatting sqref="Q36:S36 R37:S37 S38">
    <cfRule type="cellIs" dxfId="1" priority="2" operator="equal">
      <formula>"真"</formula>
    </cfRule>
    <cfRule type="cellIs" dxfId="0" priority="1" operator="equal">
      <formula>"假"</formula>
    </cfRule>
  </conditionalFormatting>
  <dataValidations count="2">
    <dataValidation type="list" allowBlank="1" showInputMessage="1" showErrorMessage="1" sqref="C22:H22 D23:H23 E24:P24 F25:H25 G26:H26 G27 I28:O28 L31:N31 M32 R37 C23:C33 D24:D29 E25:E29 F26:F27 H27:H28 N32:N33 O29:O34 P28:P35 S37:S38 D30:E32 F28:G31 H29:N30 I22:P23 I25:P27 Q22:S36">
      <formula1>'!副表'!$C$1:$C$3</formula1>
    </dataValidation>
    <dataValidation type="list" allowBlank="1" showInputMessage="1" showErrorMessage="1" sqref="B1:B20">
      <formula1>'!副表'!$A$1:$A$6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" sqref="D1"/>
    </sheetView>
  </sheetViews>
  <sheetFormatPr defaultColWidth="9" defaultRowHeight="17.4" outlineLevelRow="5" outlineLevelCol="3"/>
  <cols>
    <col min="1" max="1" width="9" style="1"/>
    <col min="2" max="2" width="9" style="2"/>
    <col min="3" max="4" width="9" style="3"/>
    <col min="5" max="16384" width="9" style="2"/>
  </cols>
  <sheetData>
    <row r="1" spans="1:4">
      <c r="A1" s="3" t="s">
        <v>27</v>
      </c>
      <c r="C1" s="3" t="s">
        <v>28</v>
      </c>
      <c r="D1" s="3">
        <v>0</v>
      </c>
    </row>
    <row r="2" spans="1:4">
      <c r="A2" s="3" t="s">
        <v>3</v>
      </c>
      <c r="C2" s="3" t="s">
        <v>22</v>
      </c>
      <c r="D2" s="3">
        <v>0</v>
      </c>
    </row>
    <row r="3" spans="1:4">
      <c r="A3" s="3" t="s">
        <v>29</v>
      </c>
      <c r="C3" s="3" t="s">
        <v>23</v>
      </c>
      <c r="D3" s="3">
        <v>1</v>
      </c>
    </row>
    <row r="4" spans="1:1">
      <c r="A4" s="3" t="s">
        <v>21</v>
      </c>
    </row>
    <row r="5" spans="1:1">
      <c r="A5" s="3" t="s">
        <v>30</v>
      </c>
    </row>
    <row r="6" spans="1:1">
      <c r="A6" s="3" t="s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mg_200_object_layer</vt:lpstr>
      <vt:lpstr>!数据编辑</vt:lpstr>
      <vt:lpstr>!副表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2006-09-16T00:00:00Z</dcterms:created>
  <dcterms:modified xsi:type="dcterms:W3CDTF">2024-10-24T14:43:51Z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DDFEF62E35724C5F9FBB27313B2C34E7</vt:lpwstr>
  </property>
</Properties>
</file>