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AppData\LocalLow\HYH\小玩法\Projects\水果切切切\表格\"/>
    </mc:Choice>
  </mc:AlternateContent>
  <xr:revisionPtr revIDLastSave="0" documentId="13_ncr:1_{D625DFC9-572A-4AD3-B7E0-714BFD60B3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9" i="2" l="1"/>
  <c r="F59" i="2"/>
  <c r="D59" i="2"/>
  <c r="B59" i="2"/>
  <c r="O58" i="2"/>
  <c r="F58" i="2"/>
  <c r="D58" i="2"/>
  <c r="B58" i="2"/>
  <c r="O57" i="2"/>
  <c r="F57" i="2"/>
  <c r="D57" i="2"/>
  <c r="B57" i="2"/>
  <c r="O56" i="2"/>
  <c r="F56" i="2"/>
  <c r="D56" i="2"/>
  <c r="B56" i="2"/>
  <c r="O55" i="2"/>
  <c r="F55" i="2"/>
  <c r="D55" i="2"/>
  <c r="B55" i="2"/>
  <c r="O54" i="2"/>
  <c r="F54" i="2"/>
  <c r="D54" i="2"/>
  <c r="B54" i="2"/>
  <c r="O53" i="2"/>
  <c r="F53" i="2"/>
  <c r="D53" i="2"/>
  <c r="B53" i="2"/>
  <c r="O52" i="2"/>
  <c r="F52" i="2"/>
  <c r="D52" i="2"/>
  <c r="B52" i="2"/>
  <c r="O51" i="2"/>
  <c r="F51" i="2"/>
  <c r="D51" i="2"/>
  <c r="B51" i="2"/>
  <c r="O50" i="2"/>
  <c r="F50" i="2"/>
  <c r="D50" i="2"/>
  <c r="B50" i="2"/>
  <c r="O49" i="2"/>
  <c r="F49" i="2"/>
  <c r="D49" i="2"/>
  <c r="B49" i="2"/>
  <c r="O48" i="2"/>
  <c r="F48" i="2"/>
  <c r="D48" i="2"/>
  <c r="B48" i="2"/>
  <c r="O47" i="2"/>
  <c r="F47" i="2"/>
  <c r="D47" i="2"/>
  <c r="B47" i="2"/>
  <c r="O46" i="2"/>
  <c r="F46" i="2"/>
  <c r="D46" i="2"/>
  <c r="B46" i="2"/>
  <c r="O45" i="2"/>
  <c r="F45" i="2"/>
  <c r="D45" i="2"/>
  <c r="B45" i="2"/>
  <c r="O44" i="2"/>
  <c r="F44" i="2"/>
  <c r="D44" i="2"/>
  <c r="B44" i="2"/>
  <c r="O43" i="2"/>
  <c r="F43" i="2"/>
  <c r="D43" i="2"/>
  <c r="B43" i="2"/>
  <c r="O42" i="2"/>
  <c r="F42" i="2"/>
  <c r="D42" i="2"/>
  <c r="B42" i="2"/>
  <c r="O41" i="2"/>
  <c r="F41" i="2"/>
  <c r="D41" i="2"/>
  <c r="B41" i="2"/>
  <c r="O40" i="2"/>
  <c r="F40" i="2"/>
  <c r="D40" i="2"/>
  <c r="B40" i="2"/>
  <c r="O39" i="2"/>
  <c r="F39" i="2"/>
  <c r="D39" i="2"/>
  <c r="B39" i="2"/>
  <c r="O38" i="2"/>
  <c r="F38" i="2"/>
  <c r="D38" i="2"/>
  <c r="B38" i="2"/>
  <c r="O37" i="2"/>
  <c r="F37" i="2"/>
  <c r="D37" i="2"/>
  <c r="B37" i="2"/>
  <c r="O36" i="2"/>
  <c r="F36" i="2"/>
  <c r="D36" i="2"/>
  <c r="B36" i="2"/>
  <c r="O35" i="2"/>
  <c r="F35" i="2"/>
  <c r="D35" i="2"/>
  <c r="B35" i="2"/>
  <c r="O34" i="2"/>
  <c r="F34" i="2"/>
  <c r="D34" i="2"/>
  <c r="B34" i="2"/>
  <c r="O33" i="2"/>
  <c r="F33" i="2"/>
  <c r="D33" i="2"/>
  <c r="B33" i="2"/>
  <c r="O32" i="2"/>
  <c r="F32" i="2"/>
  <c r="D32" i="2"/>
  <c r="B32" i="2"/>
  <c r="O31" i="2"/>
  <c r="F31" i="2"/>
  <c r="D31" i="2"/>
  <c r="B31" i="2"/>
  <c r="O30" i="2"/>
  <c r="F30" i="2"/>
  <c r="D30" i="2"/>
  <c r="B30" i="2"/>
  <c r="O29" i="2"/>
  <c r="F29" i="2"/>
  <c r="D29" i="2"/>
  <c r="B29" i="2"/>
  <c r="O28" i="2"/>
  <c r="F28" i="2"/>
  <c r="D28" i="2"/>
  <c r="B28" i="2"/>
  <c r="O27" i="2"/>
  <c r="F27" i="2"/>
  <c r="D27" i="2"/>
  <c r="B27" i="2"/>
  <c r="O26" i="2"/>
  <c r="F26" i="2"/>
  <c r="D26" i="2"/>
  <c r="B26" i="2"/>
  <c r="O25" i="2"/>
  <c r="F25" i="2"/>
  <c r="D25" i="2"/>
  <c r="B25" i="2"/>
  <c r="O24" i="2"/>
  <c r="F24" i="2"/>
  <c r="D24" i="2"/>
  <c r="B24" i="2"/>
  <c r="O23" i="2"/>
  <c r="F23" i="2"/>
  <c r="D23" i="2"/>
  <c r="B23" i="2"/>
  <c r="O22" i="2"/>
  <c r="F22" i="2"/>
  <c r="D22" i="2"/>
  <c r="B22" i="2"/>
  <c r="O21" i="2"/>
  <c r="F21" i="2"/>
  <c r="D21" i="2"/>
  <c r="B21" i="2"/>
  <c r="O20" i="2"/>
  <c r="F20" i="2"/>
  <c r="D20" i="2"/>
  <c r="B20" i="2"/>
  <c r="O19" i="2"/>
  <c r="F19" i="2"/>
  <c r="D19" i="2"/>
  <c r="B19" i="2"/>
  <c r="O18" i="2"/>
  <c r="F18" i="2"/>
  <c r="D18" i="2"/>
  <c r="B18" i="2"/>
  <c r="O17" i="2"/>
  <c r="F17" i="2"/>
  <c r="D17" i="2"/>
  <c r="B17" i="2"/>
  <c r="O16" i="2"/>
  <c r="F16" i="2"/>
  <c r="D16" i="2"/>
  <c r="B16" i="2"/>
  <c r="O15" i="2"/>
  <c r="F15" i="2"/>
  <c r="D15" i="2"/>
  <c r="B15" i="2"/>
  <c r="O14" i="2"/>
  <c r="F14" i="2"/>
  <c r="D14" i="2"/>
  <c r="B14" i="2"/>
  <c r="O13" i="2"/>
  <c r="F13" i="2"/>
  <c r="D13" i="2"/>
  <c r="B13" i="2"/>
  <c r="F12" i="2"/>
  <c r="D12" i="2"/>
  <c r="B12" i="2"/>
  <c r="O11" i="2"/>
  <c r="F11" i="2"/>
  <c r="D11" i="2"/>
  <c r="B11" i="2"/>
  <c r="O10" i="2"/>
  <c r="F10" i="2"/>
  <c r="D10" i="2"/>
  <c r="B10" i="2"/>
  <c r="O9" i="2"/>
  <c r="H9" i="2"/>
  <c r="F9" i="2"/>
  <c r="D9" i="2"/>
  <c r="B9" i="2"/>
  <c r="O8" i="2"/>
  <c r="F8" i="2"/>
  <c r="D8" i="2"/>
  <c r="B8" i="2"/>
  <c r="O7" i="2"/>
  <c r="F7" i="2"/>
  <c r="D7" i="2"/>
  <c r="B7" i="2"/>
  <c r="O6" i="2"/>
  <c r="F6" i="2"/>
  <c r="D6" i="2"/>
  <c r="B6" i="2"/>
  <c r="O5" i="2"/>
  <c r="F5" i="2"/>
  <c r="D5" i="2"/>
  <c r="B5" i="2"/>
  <c r="O4" i="2"/>
  <c r="F4" i="2"/>
  <c r="D4" i="2"/>
  <c r="B4" i="2"/>
  <c r="O3" i="2"/>
  <c r="G3" i="2"/>
  <c r="F3" i="2"/>
  <c r="D3" i="2"/>
  <c r="B3" i="2"/>
  <c r="O2" i="2"/>
  <c r="F2" i="2"/>
  <c r="D2" i="2"/>
  <c r="B2" i="2"/>
  <c r="C4" i="1"/>
</calcChain>
</file>

<file path=xl/sharedStrings.xml><?xml version="1.0" encoding="utf-8"?>
<sst xmlns="http://schemas.openxmlformats.org/spreadsheetml/2006/main" count="52" uniqueCount="47">
  <si>
    <t>id</t>
  </si>
  <si>
    <t>name</t>
  </si>
  <si>
    <t>小数值</t>
  </si>
  <si>
    <t>整数值</t>
  </si>
  <si>
    <t>文字</t>
  </si>
  <si>
    <t>comment</t>
  </si>
  <si>
    <t>comment2</t>
  </si>
  <si>
    <t>名称</t>
  </si>
  <si>
    <t>描述</t>
  </si>
  <si>
    <t>公斤重量</t>
  </si>
  <si>
    <t>float</t>
  </si>
  <si>
    <t>string</t>
  </si>
  <si>
    <t>long</t>
  </si>
  <si>
    <t>点赞加怒气</t>
  </si>
  <si>
    <t>攻击Buff系数</t>
  </si>
  <si>
    <t>30|1.55|0</t>
  </si>
  <si>
    <t>b*等级/(等级+a)+c，计算见sheet2</t>
  </si>
  <si>
    <t>单位能量盾加成</t>
  </si>
  <si>
    <t>默认士兵血量系数</t>
  </si>
  <si>
    <t>援军时间间隔</t>
  </si>
  <si>
    <t>玩法描述</t>
  </si>
  <si>
    <t>扣&lt;color=blue&gt;1加蓝方&lt;/color&gt; 扣&lt;color=orange&gt;2加橙方&lt;/color&gt;\n输入 武将名+坐标出战(例如 大刀B5)\n援军到达前可重新输入\n大盾|大锤|大刀|长枪|重骑|刺客|忍者|长弓|火炮|重剑</t>
  </si>
  <si>
    <t>点赞积分</t>
  </si>
  <si>
    <t>礼物1积分</t>
  </si>
  <si>
    <t>礼物2积分</t>
  </si>
  <si>
    <t>礼物3积分</t>
  </si>
  <si>
    <t>礼物4积分</t>
  </si>
  <si>
    <t>礼物5积分</t>
  </si>
  <si>
    <t>电池</t>
  </si>
  <si>
    <t>礼物6积分</t>
  </si>
  <si>
    <t>恶魔炸弹</t>
  </si>
  <si>
    <t>礼物7积分</t>
  </si>
  <si>
    <t>空投</t>
  </si>
  <si>
    <t>tips</t>
  </si>
  <si>
    <t>&lt;color=orange&gt;手动选路线&lt;/color&gt;:弹幕扣选上路/选中路/选下路可以指定出兵位置,不选择系统自动分配|&lt;color=orange&gt;战前布阵&lt;/color&gt;:建议开战前先引导观众选不同兵器然后点赞将各种兵种都积累一些，这样开战后场面更热闹|&lt;color=orange&gt;随时换武器&lt;/color&gt;:随时都可以输入换+武器切换武将，切换后可以点赞快速分身进入战场|&lt;color=orange&gt;打击判定&lt;/color&gt;:人物的移动，武器的碰撞都是基于真实的物理效果，因此更长的武器具有优势|&lt;color=yellow&gt;盾&lt;/color&gt;:前排坦克，手持超高防御的铁锅（箭可以插锅上），克制远程|&lt;color=yellow&gt;锤&lt;/color&gt;:碎盾，眩晕目标|&lt;color=yellow&gt;刀&lt;/color&gt;:重装近战，攻高血厚|&lt;color=yellow&gt;枪&lt;/color&gt;:超长武器，结成长枪阵后有巨大优势，克制骑兵|&lt;color=yellow&gt;忍&lt;/color&gt;:速度快，不保持阵型，克制远程|&lt;color=yellow&gt;弓箭手&lt;/color&gt;:随缘射击,适合攻击聚集的目标,近距离无法射击|&lt;color=yellow&gt;火枪手&lt;/color&gt;:高精度平射，击退作用强|&lt;color=yellow&gt;火炮&lt;/color&gt;:范围爆炸产生冲击力，破坏敌方阵型|&lt;color=yellow&gt;轻骑兵&lt;/color&gt;:高速冲刺，快速清除后排远程兵。强化后变重骑兵带击晕效果|&lt;color=orange&gt;超级分身&lt;/color&gt;:快速组成密集阵型，组刷合成高级兵，二阶强化后攻速翻倍|&lt;color=orange&gt;盾兵超级分身&lt;/color&gt;:先选盾再用超级分身产生远程护罩，组刷超大护罩保护队友|&lt;color=orange&gt;枪兵超级分身&lt;/color&gt;:先选枪再用超级分身组成近战无敌长枪阵|&lt;color=orange&gt;强化兵种&lt;/color&gt;:一阶强化发绿色光，提升攻击力。二阶强化发金色光，强化血量和攻速</t>
  </si>
  <si>
    <t>礼物2赠送小人</t>
  </si>
  <si>
    <t>礼物3赠送小人</t>
  </si>
  <si>
    <t>礼物4赠送小人</t>
  </si>
  <si>
    <t>礼物5赠送小人</t>
  </si>
  <si>
    <t>礼物6赠送小人</t>
  </si>
  <si>
    <t>等级</t>
  </si>
  <si>
    <t>防御力</t>
  </si>
  <si>
    <t>攻击力加成</t>
  </si>
  <si>
    <t>经验加成</t>
  </si>
  <si>
    <t>abc</t>
  </si>
  <si>
    <t>vector</t>
  </si>
  <si>
    <t>0;1;2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</si>
</sst>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G5" sqref="G5"/>
    </sheetView>
  </sheetViews>
  <sheetFormatPr defaultColWidth="9" defaultRowHeight="14" x14ac:dyDescent="0.25"/>
  <cols>
    <col min="1" max="1" width="9" style="5"/>
    <col min="2" max="2" width="21.26953125" style="5" customWidth="1"/>
    <col min="3" max="3" width="7" style="5" customWidth="1"/>
    <col min="4" max="4" width="19.1796875" style="5" customWidth="1"/>
    <col min="5" max="5" width="73.90625" style="5" customWidth="1"/>
    <col min="6" max="6" width="50.08984375" style="5" customWidth="1"/>
    <col min="7" max="7" width="32.453125" style="5" customWidth="1"/>
    <col min="8" max="16384" width="9" style="5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44</v>
      </c>
    </row>
    <row r="2" spans="1:8" x14ac:dyDescent="0.25">
      <c r="A2" s="5" t="s">
        <v>0</v>
      </c>
      <c r="B2" s="5" t="s">
        <v>7</v>
      </c>
      <c r="F2" s="5" t="s">
        <v>8</v>
      </c>
      <c r="G2" s="5" t="s">
        <v>9</v>
      </c>
    </row>
    <row r="3" spans="1:8" x14ac:dyDescent="0.25">
      <c r="A3" s="5" t="s">
        <v>10</v>
      </c>
      <c r="B3" s="5" t="s">
        <v>11</v>
      </c>
      <c r="C3" s="5" t="s">
        <v>10</v>
      </c>
      <c r="D3" s="5" t="s">
        <v>12</v>
      </c>
      <c r="E3" s="5" t="s">
        <v>11</v>
      </c>
      <c r="F3" s="5" t="s">
        <v>11</v>
      </c>
      <c r="G3" s="5" t="s">
        <v>45</v>
      </c>
      <c r="H3" s="5" t="s">
        <v>45</v>
      </c>
    </row>
    <row r="4" spans="1:8" s="2" customFormat="1" x14ac:dyDescent="0.25">
      <c r="A4" s="5">
        <v>0</v>
      </c>
      <c r="B4" s="2" t="s">
        <v>13</v>
      </c>
      <c r="C4" s="2">
        <f>1/50</f>
        <v>0.02</v>
      </c>
      <c r="G4" s="9" t="s">
        <v>46</v>
      </c>
    </row>
    <row r="5" spans="1:8" s="3" customFormat="1" x14ac:dyDescent="0.25">
      <c r="A5" s="5">
        <v>1</v>
      </c>
      <c r="B5" s="3" t="s">
        <v>14</v>
      </c>
      <c r="E5" s="3" t="s">
        <v>15</v>
      </c>
      <c r="F5" s="3" t="s">
        <v>16</v>
      </c>
    </row>
    <row r="6" spans="1:8" s="4" customFormat="1" x14ac:dyDescent="0.25">
      <c r="A6" s="5">
        <v>2</v>
      </c>
      <c r="B6" s="4" t="s">
        <v>17</v>
      </c>
      <c r="C6" s="4">
        <v>200</v>
      </c>
    </row>
    <row r="7" spans="1:8" x14ac:dyDescent="0.25">
      <c r="A7" s="5">
        <v>3</v>
      </c>
      <c r="B7" s="6" t="s">
        <v>18</v>
      </c>
      <c r="C7" s="6">
        <v>1</v>
      </c>
      <c r="D7" s="6"/>
      <c r="E7" s="6"/>
      <c r="F7" s="6"/>
    </row>
    <row r="8" spans="1:8" x14ac:dyDescent="0.25">
      <c r="A8" s="5">
        <v>4</v>
      </c>
      <c r="B8" s="6" t="s">
        <v>19</v>
      </c>
      <c r="C8" s="6">
        <v>10</v>
      </c>
      <c r="D8" s="6"/>
      <c r="E8" s="6"/>
      <c r="F8" s="6"/>
    </row>
    <row r="9" spans="1:8" ht="42" x14ac:dyDescent="0.25">
      <c r="A9" s="5">
        <v>5</v>
      </c>
      <c r="B9" s="5" t="s">
        <v>20</v>
      </c>
      <c r="E9" s="7" t="s">
        <v>21</v>
      </c>
    </row>
    <row r="10" spans="1:8" x14ac:dyDescent="0.25">
      <c r="A10" s="5">
        <v>6</v>
      </c>
      <c r="B10" s="5" t="s">
        <v>22</v>
      </c>
      <c r="D10" s="5">
        <v>1</v>
      </c>
    </row>
    <row r="11" spans="1:8" x14ac:dyDescent="0.25">
      <c r="A11" s="5">
        <v>7</v>
      </c>
      <c r="B11" s="5" t="s">
        <v>23</v>
      </c>
      <c r="D11" s="5">
        <v>1000</v>
      </c>
    </row>
    <row r="12" spans="1:8" x14ac:dyDescent="0.25">
      <c r="A12" s="5">
        <v>8</v>
      </c>
      <c r="B12" s="5" t="s">
        <v>24</v>
      </c>
      <c r="D12" s="8">
        <v>10000</v>
      </c>
    </row>
    <row r="13" spans="1:8" x14ac:dyDescent="0.25">
      <c r="A13" s="5">
        <v>9</v>
      </c>
      <c r="B13" s="5" t="s">
        <v>25</v>
      </c>
      <c r="D13" s="8">
        <v>19000</v>
      </c>
    </row>
    <row r="14" spans="1:8" x14ac:dyDescent="0.25">
      <c r="A14" s="5">
        <v>10</v>
      </c>
      <c r="B14" s="5" t="s">
        <v>26</v>
      </c>
      <c r="D14" s="8">
        <v>52000</v>
      </c>
    </row>
    <row r="15" spans="1:8" x14ac:dyDescent="0.25">
      <c r="A15" s="5">
        <v>11</v>
      </c>
      <c r="B15" s="5" t="s">
        <v>27</v>
      </c>
      <c r="D15" s="5">
        <v>99000</v>
      </c>
      <c r="F15" s="5" t="s">
        <v>28</v>
      </c>
    </row>
    <row r="16" spans="1:8" x14ac:dyDescent="0.25">
      <c r="A16" s="5">
        <v>12</v>
      </c>
      <c r="B16" s="5" t="s">
        <v>29</v>
      </c>
      <c r="D16" s="5">
        <v>199000</v>
      </c>
      <c r="F16" s="5" t="s">
        <v>30</v>
      </c>
    </row>
    <row r="17" spans="1:6" x14ac:dyDescent="0.25">
      <c r="A17" s="5">
        <v>13</v>
      </c>
      <c r="B17" s="5" t="s">
        <v>31</v>
      </c>
      <c r="D17" s="5">
        <v>520000</v>
      </c>
      <c r="F17" s="5" t="s">
        <v>32</v>
      </c>
    </row>
    <row r="18" spans="1:6" ht="204" customHeight="1" x14ac:dyDescent="0.25">
      <c r="A18" s="5">
        <v>14</v>
      </c>
      <c r="B18" s="5" t="s">
        <v>33</v>
      </c>
      <c r="E18" s="7" t="s">
        <v>34</v>
      </c>
    </row>
    <row r="19" spans="1:6" x14ac:dyDescent="0.25">
      <c r="A19" s="5">
        <v>15</v>
      </c>
      <c r="B19" s="5" t="s">
        <v>35</v>
      </c>
    </row>
    <row r="20" spans="1:6" x14ac:dyDescent="0.25">
      <c r="A20" s="5">
        <v>16</v>
      </c>
      <c r="B20" s="5" t="s">
        <v>36</v>
      </c>
    </row>
    <row r="21" spans="1:6" x14ac:dyDescent="0.25">
      <c r="A21" s="5">
        <v>17</v>
      </c>
      <c r="B21" s="5" t="s">
        <v>37</v>
      </c>
    </row>
    <row r="22" spans="1:6" x14ac:dyDescent="0.25">
      <c r="A22" s="5">
        <v>18</v>
      </c>
      <c r="B22" s="5" t="s">
        <v>38</v>
      </c>
    </row>
    <row r="23" spans="1:6" x14ac:dyDescent="0.25">
      <c r="A23" s="5">
        <v>19</v>
      </c>
      <c r="B23" s="5" t="s">
        <v>39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workbookViewId="0">
      <selection activeCell="E7" sqref="E7"/>
    </sheetView>
  </sheetViews>
  <sheetFormatPr defaultColWidth="9" defaultRowHeight="14" x14ac:dyDescent="0.25"/>
  <cols>
    <col min="1" max="1" width="9" style="1"/>
    <col min="2" max="2" width="12.81640625" style="1"/>
    <col min="3" max="3" width="9" style="1"/>
    <col min="4" max="6" width="12.81640625" style="1"/>
    <col min="7" max="7" width="14" style="1"/>
    <col min="8" max="8" width="12.81640625" style="1"/>
    <col min="9" max="12" width="9" style="1"/>
    <col min="13" max="13" width="12.81640625" style="1"/>
    <col min="14" max="14" width="9" style="1"/>
    <col min="15" max="15" width="12.81640625" style="1"/>
    <col min="16" max="16384" width="9" style="1"/>
  </cols>
  <sheetData>
    <row r="1" spans="1:15" x14ac:dyDescent="0.25">
      <c r="A1" s="1" t="s">
        <v>40</v>
      </c>
      <c r="B1" s="1" t="s">
        <v>41</v>
      </c>
      <c r="C1" s="1">
        <v>200</v>
      </c>
      <c r="D1" s="1" t="s">
        <v>42</v>
      </c>
      <c r="E1" s="1">
        <v>30</v>
      </c>
      <c r="F1" s="1" t="s">
        <v>43</v>
      </c>
      <c r="G1" s="1">
        <v>15</v>
      </c>
    </row>
    <row r="2" spans="1:15" x14ac:dyDescent="0.25">
      <c r="A2" s="1">
        <v>1</v>
      </c>
      <c r="B2" s="1">
        <f t="shared" ref="B2:B59" si="0">1-1/(1+D2)</f>
        <v>4.76190476190477E-2</v>
      </c>
      <c r="C2" s="1">
        <v>1</v>
      </c>
      <c r="D2" s="1">
        <f t="shared" ref="D2:D33" si="1">E$2*A2/(A2+E$1)+E$3</f>
        <v>0.05</v>
      </c>
      <c r="E2" s="1">
        <v>1.55</v>
      </c>
      <c r="F2" s="1">
        <f t="shared" ref="F2:F33" si="2">G$2*A2/(A2+G$1)+G$3</f>
        <v>0.05</v>
      </c>
      <c r="G2" s="1">
        <v>3</v>
      </c>
      <c r="O2" s="1">
        <f t="shared" ref="O2:O11" si="3">(1+D2)*(1-B2)</f>
        <v>1</v>
      </c>
    </row>
    <row r="3" spans="1:15" x14ac:dyDescent="0.25">
      <c r="A3" s="1">
        <v>2</v>
      </c>
      <c r="B3" s="1">
        <f t="shared" si="0"/>
        <v>8.8319088319088301E-2</v>
      </c>
      <c r="C3" s="1">
        <v>0</v>
      </c>
      <c r="D3" s="1">
        <f t="shared" si="1"/>
        <v>9.6875000000000003E-2</v>
      </c>
      <c r="E3" s="1">
        <v>0</v>
      </c>
      <c r="F3" s="1">
        <f t="shared" si="2"/>
        <v>0.215441176470588</v>
      </c>
      <c r="G3" s="1">
        <f>0.05-0.1875</f>
        <v>-0.13750000000000001</v>
      </c>
      <c r="O3" s="1">
        <f t="shared" si="3"/>
        <v>1</v>
      </c>
    </row>
    <row r="4" spans="1:15" x14ac:dyDescent="0.25">
      <c r="A4" s="1">
        <v>3</v>
      </c>
      <c r="B4" s="1">
        <f t="shared" si="0"/>
        <v>0.123505976095618</v>
      </c>
      <c r="D4" s="1">
        <f t="shared" si="1"/>
        <v>0.14090909090909101</v>
      </c>
      <c r="F4" s="1">
        <f t="shared" si="2"/>
        <v>0.36249999999999999</v>
      </c>
      <c r="O4" s="1">
        <f t="shared" si="3"/>
        <v>1</v>
      </c>
    </row>
    <row r="5" spans="1:15" x14ac:dyDescent="0.25">
      <c r="A5" s="1">
        <v>4</v>
      </c>
      <c r="B5" s="1">
        <f t="shared" si="0"/>
        <v>0.154228855721393</v>
      </c>
      <c r="D5" s="1">
        <f t="shared" si="1"/>
        <v>0.182352941176471</v>
      </c>
      <c r="F5" s="1">
        <f t="shared" si="2"/>
        <v>0.49407894736842101</v>
      </c>
      <c r="O5" s="1">
        <f t="shared" si="3"/>
        <v>1</v>
      </c>
    </row>
    <row r="6" spans="1:15" x14ac:dyDescent="0.25">
      <c r="A6" s="1">
        <v>5</v>
      </c>
      <c r="B6" s="1">
        <f t="shared" si="0"/>
        <v>0.181286549707602</v>
      </c>
      <c r="D6" s="1">
        <f t="shared" si="1"/>
        <v>0.221428571428571</v>
      </c>
      <c r="F6" s="1">
        <f t="shared" si="2"/>
        <v>0.61250000000000004</v>
      </c>
      <c r="O6" s="1">
        <f t="shared" si="3"/>
        <v>1</v>
      </c>
    </row>
    <row r="7" spans="1:15" x14ac:dyDescent="0.25">
      <c r="A7" s="1">
        <v>6</v>
      </c>
      <c r="B7" s="1">
        <f t="shared" si="0"/>
        <v>0.205298013245033</v>
      </c>
      <c r="D7" s="1">
        <f t="shared" si="1"/>
        <v>0.25833333333333303</v>
      </c>
      <c r="F7" s="1">
        <f t="shared" si="2"/>
        <v>0.71964285714285703</v>
      </c>
      <c r="O7" s="1">
        <f t="shared" si="3"/>
        <v>1</v>
      </c>
    </row>
    <row r="8" spans="1:15" x14ac:dyDescent="0.25">
      <c r="A8" s="1">
        <v>7</v>
      </c>
      <c r="B8" s="1">
        <f t="shared" si="0"/>
        <v>0.22675026123302</v>
      </c>
      <c r="D8" s="1">
        <f t="shared" si="1"/>
        <v>0.29324324324324302</v>
      </c>
      <c r="F8" s="1">
        <f t="shared" si="2"/>
        <v>0.81704545454545496</v>
      </c>
      <c r="O8" s="1">
        <f t="shared" si="3"/>
        <v>1</v>
      </c>
    </row>
    <row r="9" spans="1:15" x14ac:dyDescent="0.25">
      <c r="A9" s="1">
        <v>8</v>
      </c>
      <c r="B9" s="1">
        <f t="shared" si="0"/>
        <v>0.24603174603174599</v>
      </c>
      <c r="D9" s="1">
        <f t="shared" si="1"/>
        <v>0.326315789473684</v>
      </c>
      <c r="F9" s="1">
        <f t="shared" si="2"/>
        <v>0.90597826086956501</v>
      </c>
      <c r="H9" s="1">
        <f>0.1-D2</f>
        <v>0.05</v>
      </c>
      <c r="O9" s="1">
        <f t="shared" si="3"/>
        <v>1</v>
      </c>
    </row>
    <row r="10" spans="1:15" x14ac:dyDescent="0.25">
      <c r="A10" s="1">
        <v>9</v>
      </c>
      <c r="B10" s="1">
        <f t="shared" si="0"/>
        <v>0.26345609065155801</v>
      </c>
      <c r="D10" s="1">
        <f t="shared" si="1"/>
        <v>0.35769230769230798</v>
      </c>
      <c r="F10" s="1">
        <f t="shared" si="2"/>
        <v>0.98750000000000004</v>
      </c>
      <c r="O10" s="1">
        <f t="shared" si="3"/>
        <v>1</v>
      </c>
    </row>
    <row r="11" spans="1:15" x14ac:dyDescent="0.25">
      <c r="A11" s="1">
        <v>10</v>
      </c>
      <c r="B11" s="1">
        <f t="shared" si="0"/>
        <v>0.27927927927927898</v>
      </c>
      <c r="D11" s="1">
        <f t="shared" si="1"/>
        <v>0.38750000000000001</v>
      </c>
      <c r="F11" s="1">
        <f t="shared" si="2"/>
        <v>1.0625</v>
      </c>
      <c r="O11" s="1">
        <f t="shared" si="3"/>
        <v>1</v>
      </c>
    </row>
    <row r="12" spans="1:15" x14ac:dyDescent="0.25">
      <c r="A12" s="1">
        <v>15</v>
      </c>
      <c r="B12" s="1">
        <f t="shared" si="0"/>
        <v>0.340659340659341</v>
      </c>
      <c r="D12" s="1">
        <f t="shared" si="1"/>
        <v>0.51666666666666705</v>
      </c>
      <c r="F12" s="1">
        <f t="shared" si="2"/>
        <v>1.3625</v>
      </c>
    </row>
    <row r="13" spans="1:15" x14ac:dyDescent="0.25">
      <c r="A13" s="1">
        <v>20</v>
      </c>
      <c r="B13" s="1">
        <f t="shared" si="0"/>
        <v>0.38271604938271597</v>
      </c>
      <c r="D13" s="1">
        <f t="shared" si="1"/>
        <v>0.62</v>
      </c>
      <c r="F13" s="1">
        <f t="shared" si="2"/>
        <v>1.57678571428571</v>
      </c>
      <c r="O13" s="1">
        <f t="shared" ref="O13:O59" si="4">(1+D13)*(1-B13)</f>
        <v>1</v>
      </c>
    </row>
    <row r="14" spans="1:15" x14ac:dyDescent="0.25">
      <c r="A14" s="1">
        <v>30</v>
      </c>
      <c r="B14" s="1">
        <f t="shared" si="0"/>
        <v>0.43661971830985902</v>
      </c>
      <c r="D14" s="1">
        <f t="shared" si="1"/>
        <v>0.77500000000000002</v>
      </c>
      <c r="F14" s="1">
        <f t="shared" si="2"/>
        <v>1.8625</v>
      </c>
      <c r="O14" s="1">
        <f t="shared" si="4"/>
        <v>1</v>
      </c>
    </row>
    <row r="15" spans="1:15" x14ac:dyDescent="0.25">
      <c r="A15" s="1">
        <v>40</v>
      </c>
      <c r="B15" s="1">
        <f t="shared" si="0"/>
        <v>0.46969696969697</v>
      </c>
      <c r="D15" s="1">
        <f t="shared" si="1"/>
        <v>0.88571428571428601</v>
      </c>
      <c r="F15" s="1">
        <f t="shared" si="2"/>
        <v>2.0443181818181801</v>
      </c>
      <c r="O15" s="1">
        <f t="shared" si="4"/>
        <v>1</v>
      </c>
    </row>
    <row r="16" spans="1:15" x14ac:dyDescent="0.25">
      <c r="A16" s="1">
        <v>50</v>
      </c>
      <c r="B16" s="1">
        <f t="shared" si="0"/>
        <v>0.49206349206349198</v>
      </c>
      <c r="D16" s="1">
        <f t="shared" si="1"/>
        <v>0.96875</v>
      </c>
      <c r="F16" s="1">
        <f t="shared" si="2"/>
        <v>2.17019230769231</v>
      </c>
      <c r="O16" s="1">
        <f t="shared" si="4"/>
        <v>1</v>
      </c>
    </row>
    <row r="17" spans="1:15" x14ac:dyDescent="0.25">
      <c r="A17" s="1">
        <v>60</v>
      </c>
      <c r="B17" s="1">
        <f t="shared" si="0"/>
        <v>0.50819672131147497</v>
      </c>
      <c r="D17" s="1">
        <f t="shared" si="1"/>
        <v>1.0333333333333301</v>
      </c>
      <c r="F17" s="1">
        <f t="shared" si="2"/>
        <v>2.2625000000000002</v>
      </c>
      <c r="O17" s="1">
        <f t="shared" si="4"/>
        <v>1</v>
      </c>
    </row>
    <row r="18" spans="1:15" x14ac:dyDescent="0.25">
      <c r="A18" s="1">
        <v>70</v>
      </c>
      <c r="B18" s="1">
        <f t="shared" si="0"/>
        <v>0.52038369304556398</v>
      </c>
      <c r="D18" s="1">
        <f t="shared" si="1"/>
        <v>1.085</v>
      </c>
      <c r="F18" s="1">
        <f t="shared" si="2"/>
        <v>2.3330882352941198</v>
      </c>
      <c r="O18" s="1">
        <f t="shared" si="4"/>
        <v>1</v>
      </c>
    </row>
    <row r="19" spans="1:15" x14ac:dyDescent="0.25">
      <c r="A19" s="1">
        <v>80</v>
      </c>
      <c r="B19" s="1">
        <f t="shared" si="0"/>
        <v>0.52991452991453003</v>
      </c>
      <c r="D19" s="1">
        <f t="shared" si="1"/>
        <v>1.1272727272727301</v>
      </c>
      <c r="F19" s="1">
        <f t="shared" si="2"/>
        <v>2.3888157894736799</v>
      </c>
      <c r="O19" s="1">
        <f t="shared" si="4"/>
        <v>1</v>
      </c>
    </row>
    <row r="20" spans="1:15" x14ac:dyDescent="0.25">
      <c r="A20" s="1">
        <v>90</v>
      </c>
      <c r="B20" s="1">
        <f t="shared" si="0"/>
        <v>0.53757225433526001</v>
      </c>
      <c r="D20" s="1">
        <f t="shared" si="1"/>
        <v>1.1625000000000001</v>
      </c>
      <c r="F20" s="1">
        <f t="shared" si="2"/>
        <v>2.4339285714285701</v>
      </c>
      <c r="O20" s="1">
        <f t="shared" si="4"/>
        <v>1</v>
      </c>
    </row>
    <row r="21" spans="1:15" x14ac:dyDescent="0.25">
      <c r="A21" s="1">
        <v>100</v>
      </c>
      <c r="B21" s="1">
        <f t="shared" si="0"/>
        <v>0.54385964912280704</v>
      </c>
      <c r="D21" s="1">
        <f t="shared" si="1"/>
        <v>1.1923076923076901</v>
      </c>
      <c r="F21" s="1">
        <f t="shared" si="2"/>
        <v>2.4711956521739098</v>
      </c>
      <c r="O21" s="1">
        <f t="shared" si="4"/>
        <v>1</v>
      </c>
    </row>
    <row r="22" spans="1:15" x14ac:dyDescent="0.25">
      <c r="A22" s="1">
        <v>110</v>
      </c>
      <c r="B22" s="1">
        <f t="shared" si="0"/>
        <v>0.54911433172302704</v>
      </c>
      <c r="D22" s="1">
        <f t="shared" si="1"/>
        <v>1.2178571428571401</v>
      </c>
      <c r="F22" s="1">
        <f t="shared" si="2"/>
        <v>2.5024999999999999</v>
      </c>
      <c r="O22" s="1">
        <f t="shared" si="4"/>
        <v>1</v>
      </c>
    </row>
    <row r="23" spans="1:15" x14ac:dyDescent="0.25">
      <c r="A23" s="1">
        <v>120</v>
      </c>
      <c r="B23" s="1">
        <f t="shared" si="0"/>
        <v>0.55357142857142905</v>
      </c>
      <c r="D23" s="1">
        <f t="shared" si="1"/>
        <v>1.24</v>
      </c>
      <c r="F23" s="1">
        <f t="shared" si="2"/>
        <v>2.5291666666666699</v>
      </c>
      <c r="O23" s="1">
        <f t="shared" si="4"/>
        <v>1</v>
      </c>
    </row>
    <row r="24" spans="1:15" x14ac:dyDescent="0.25">
      <c r="A24" s="1">
        <v>130</v>
      </c>
      <c r="B24" s="1">
        <f t="shared" si="0"/>
        <v>0.55739972337482702</v>
      </c>
      <c r="D24" s="1">
        <f t="shared" si="1"/>
        <v>1.2593749999999999</v>
      </c>
      <c r="F24" s="1">
        <f t="shared" si="2"/>
        <v>2.5521551724137899</v>
      </c>
      <c r="O24" s="1">
        <f t="shared" si="4"/>
        <v>1</v>
      </c>
    </row>
    <row r="25" spans="1:15" x14ac:dyDescent="0.25">
      <c r="A25" s="1">
        <v>140</v>
      </c>
      <c r="B25" s="1">
        <f t="shared" si="0"/>
        <v>0.56072351421188604</v>
      </c>
      <c r="D25" s="1">
        <f t="shared" si="1"/>
        <v>1.27647058823529</v>
      </c>
      <c r="F25" s="1">
        <f t="shared" si="2"/>
        <v>2.5721774193548401</v>
      </c>
      <c r="O25" s="1">
        <f t="shared" si="4"/>
        <v>1</v>
      </c>
    </row>
    <row r="26" spans="1:15" x14ac:dyDescent="0.25">
      <c r="A26" s="1">
        <v>150</v>
      </c>
      <c r="B26" s="1">
        <f t="shared" si="0"/>
        <v>0.56363636363636405</v>
      </c>
      <c r="D26" s="1">
        <f t="shared" si="1"/>
        <v>1.2916666666666701</v>
      </c>
      <c r="F26" s="1">
        <f t="shared" si="2"/>
        <v>2.58977272727273</v>
      </c>
      <c r="O26" s="1">
        <f t="shared" si="4"/>
        <v>1</v>
      </c>
    </row>
    <row r="27" spans="1:15" x14ac:dyDescent="0.25">
      <c r="A27" s="1">
        <v>160</v>
      </c>
      <c r="B27" s="1">
        <f t="shared" si="0"/>
        <v>0.56621004566209998</v>
      </c>
      <c r="D27" s="1">
        <f t="shared" si="1"/>
        <v>1.30526315789474</v>
      </c>
      <c r="F27" s="1">
        <f t="shared" si="2"/>
        <v>2.60535714285714</v>
      </c>
      <c r="O27" s="1">
        <f t="shared" si="4"/>
        <v>1</v>
      </c>
    </row>
    <row r="28" spans="1:15" x14ac:dyDescent="0.25">
      <c r="A28" s="1">
        <v>170</v>
      </c>
      <c r="B28" s="1">
        <f t="shared" si="0"/>
        <v>0.56850053937432599</v>
      </c>
      <c r="D28" s="1">
        <f t="shared" si="1"/>
        <v>1.3174999999999999</v>
      </c>
      <c r="F28" s="1">
        <f t="shared" si="2"/>
        <v>2.61925675675676</v>
      </c>
      <c r="O28" s="1">
        <f t="shared" si="4"/>
        <v>1</v>
      </c>
    </row>
    <row r="29" spans="1:15" x14ac:dyDescent="0.25">
      <c r="A29" s="1">
        <v>180</v>
      </c>
      <c r="B29" s="1">
        <f t="shared" si="0"/>
        <v>0.57055214723926395</v>
      </c>
      <c r="D29" s="1">
        <f t="shared" si="1"/>
        <v>1.3285714285714301</v>
      </c>
      <c r="F29" s="1">
        <f t="shared" si="2"/>
        <v>2.6317307692307699</v>
      </c>
      <c r="O29" s="1">
        <f t="shared" si="4"/>
        <v>1</v>
      </c>
    </row>
    <row r="30" spans="1:15" x14ac:dyDescent="0.25">
      <c r="A30" s="1">
        <v>190</v>
      </c>
      <c r="B30" s="1">
        <f t="shared" si="0"/>
        <v>0.57240038872691901</v>
      </c>
      <c r="D30" s="1">
        <f t="shared" si="1"/>
        <v>1.3386363636363601</v>
      </c>
      <c r="F30" s="1">
        <f t="shared" si="2"/>
        <v>2.6429878048780502</v>
      </c>
      <c r="O30" s="1">
        <f t="shared" si="4"/>
        <v>1</v>
      </c>
    </row>
    <row r="31" spans="1:15" x14ac:dyDescent="0.25">
      <c r="A31" s="1">
        <v>200</v>
      </c>
      <c r="B31" s="1">
        <f t="shared" si="0"/>
        <v>0.57407407407407396</v>
      </c>
      <c r="D31" s="1">
        <f t="shared" si="1"/>
        <v>1.34782608695652</v>
      </c>
      <c r="F31" s="1">
        <f t="shared" si="2"/>
        <v>2.6531976744186001</v>
      </c>
      <c r="O31" s="1">
        <f t="shared" si="4"/>
        <v>1</v>
      </c>
    </row>
    <row r="32" spans="1:15" x14ac:dyDescent="0.25">
      <c r="A32" s="1">
        <v>210</v>
      </c>
      <c r="B32" s="1">
        <f t="shared" si="0"/>
        <v>0.57559681697612697</v>
      </c>
      <c r="D32" s="1">
        <f t="shared" si="1"/>
        <v>1.35625</v>
      </c>
      <c r="F32" s="1">
        <f t="shared" si="2"/>
        <v>2.6625000000000001</v>
      </c>
      <c r="O32" s="1">
        <f t="shared" si="4"/>
        <v>1</v>
      </c>
    </row>
    <row r="33" spans="1:15" x14ac:dyDescent="0.25">
      <c r="A33" s="1">
        <v>220</v>
      </c>
      <c r="B33" s="1">
        <f t="shared" si="0"/>
        <v>0.57698815566835904</v>
      </c>
      <c r="D33" s="1">
        <f t="shared" si="1"/>
        <v>1.3640000000000001</v>
      </c>
      <c r="F33" s="1">
        <f t="shared" si="2"/>
        <v>2.67101063829787</v>
      </c>
      <c r="O33" s="1">
        <f t="shared" si="4"/>
        <v>1</v>
      </c>
    </row>
    <row r="34" spans="1:15" x14ac:dyDescent="0.25">
      <c r="A34" s="1">
        <v>230</v>
      </c>
      <c r="B34" s="1">
        <f t="shared" si="0"/>
        <v>0.57826439578264399</v>
      </c>
      <c r="D34" s="1">
        <f t="shared" ref="D34:D65" si="5">E$2*A34/(A34+E$1)+E$3</f>
        <v>1.3711538461538499</v>
      </c>
      <c r="F34" s="1">
        <f t="shared" ref="F34:F65" si="6">G$2*A34/(A34+G$1)+G$3</f>
        <v>2.6788265306122399</v>
      </c>
      <c r="O34" s="1">
        <f t="shared" si="4"/>
        <v>1</v>
      </c>
    </row>
    <row r="35" spans="1:15" x14ac:dyDescent="0.25">
      <c r="A35" s="1">
        <v>240</v>
      </c>
      <c r="B35" s="1">
        <f t="shared" si="0"/>
        <v>0.579439252336449</v>
      </c>
      <c r="D35" s="1">
        <f t="shared" si="5"/>
        <v>1.37777777777778</v>
      </c>
      <c r="F35" s="1">
        <f t="shared" si="6"/>
        <v>2.6860294117647099</v>
      </c>
      <c r="O35" s="1">
        <f t="shared" si="4"/>
        <v>1</v>
      </c>
    </row>
    <row r="36" spans="1:15" x14ac:dyDescent="0.25">
      <c r="A36" s="1">
        <v>250</v>
      </c>
      <c r="B36" s="1">
        <f t="shared" si="0"/>
        <v>0.58052434456928803</v>
      </c>
      <c r="D36" s="1">
        <f t="shared" si="5"/>
        <v>1.3839285714285701</v>
      </c>
      <c r="F36" s="1">
        <f t="shared" si="6"/>
        <v>2.69268867924528</v>
      </c>
      <c r="O36" s="1">
        <f t="shared" si="4"/>
        <v>1</v>
      </c>
    </row>
    <row r="37" spans="1:15" x14ac:dyDescent="0.25">
      <c r="A37" s="1">
        <v>260</v>
      </c>
      <c r="B37" s="1">
        <f t="shared" si="0"/>
        <v>0.58152958152958201</v>
      </c>
      <c r="D37" s="1">
        <f t="shared" si="5"/>
        <v>1.38965517241379</v>
      </c>
      <c r="F37" s="1">
        <f t="shared" si="6"/>
        <v>2.6988636363636398</v>
      </c>
      <c r="O37" s="1">
        <f t="shared" si="4"/>
        <v>1</v>
      </c>
    </row>
    <row r="38" spans="1:15" x14ac:dyDescent="0.25">
      <c r="A38" s="1">
        <v>270</v>
      </c>
      <c r="B38" s="1">
        <f t="shared" si="0"/>
        <v>0.58246346555323603</v>
      </c>
      <c r="D38" s="1">
        <f t="shared" si="5"/>
        <v>1.395</v>
      </c>
      <c r="F38" s="1">
        <f t="shared" si="6"/>
        <v>2.7046052631578901</v>
      </c>
      <c r="O38" s="1">
        <f t="shared" si="4"/>
        <v>1</v>
      </c>
    </row>
    <row r="39" spans="1:15" x14ac:dyDescent="0.25">
      <c r="A39" s="1">
        <v>280</v>
      </c>
      <c r="B39" s="1">
        <f t="shared" si="0"/>
        <v>0.58333333333333304</v>
      </c>
      <c r="D39" s="1">
        <f t="shared" si="5"/>
        <v>1.4</v>
      </c>
      <c r="F39" s="1">
        <f t="shared" si="6"/>
        <v>2.7099576271186399</v>
      </c>
      <c r="O39" s="1">
        <f t="shared" si="4"/>
        <v>1</v>
      </c>
    </row>
    <row r="40" spans="1:15" x14ac:dyDescent="0.25">
      <c r="A40" s="1">
        <v>290</v>
      </c>
      <c r="B40" s="1">
        <f t="shared" si="0"/>
        <v>0.58414554905783</v>
      </c>
      <c r="D40" s="1">
        <f t="shared" si="5"/>
        <v>1.4046875000000001</v>
      </c>
      <c r="F40" s="1">
        <f t="shared" si="6"/>
        <v>2.7149590163934398</v>
      </c>
      <c r="O40" s="1">
        <f t="shared" si="4"/>
        <v>1</v>
      </c>
    </row>
    <row r="41" spans="1:15" x14ac:dyDescent="0.25">
      <c r="A41" s="1">
        <v>300</v>
      </c>
      <c r="B41" s="1">
        <f t="shared" si="0"/>
        <v>0.58490566037735903</v>
      </c>
      <c r="D41" s="1">
        <f t="shared" si="5"/>
        <v>1.4090909090909101</v>
      </c>
      <c r="F41" s="1">
        <f t="shared" si="6"/>
        <v>2.7196428571428601</v>
      </c>
      <c r="O41" s="1">
        <f t="shared" si="4"/>
        <v>1</v>
      </c>
    </row>
    <row r="42" spans="1:15" x14ac:dyDescent="0.25">
      <c r="A42" s="1">
        <v>310</v>
      </c>
      <c r="B42" s="1">
        <f t="shared" si="0"/>
        <v>0.58561852528945801</v>
      </c>
      <c r="D42" s="1">
        <f t="shared" si="5"/>
        <v>1.41323529411765</v>
      </c>
      <c r="F42" s="1">
        <f t="shared" si="6"/>
        <v>2.7240384615384601</v>
      </c>
      <c r="O42" s="1">
        <f t="shared" si="4"/>
        <v>1</v>
      </c>
    </row>
    <row r="43" spans="1:15" x14ac:dyDescent="0.25">
      <c r="A43" s="1">
        <v>320</v>
      </c>
      <c r="B43" s="1">
        <f t="shared" si="0"/>
        <v>0.58628841607564997</v>
      </c>
      <c r="D43" s="1">
        <f t="shared" si="5"/>
        <v>1.4171428571428599</v>
      </c>
      <c r="F43" s="1">
        <f t="shared" si="6"/>
        <v>2.72817164179104</v>
      </c>
      <c r="O43" s="1">
        <f t="shared" si="4"/>
        <v>1</v>
      </c>
    </row>
    <row r="44" spans="1:15" x14ac:dyDescent="0.25">
      <c r="A44" s="1">
        <v>330</v>
      </c>
      <c r="B44" s="1">
        <f t="shared" si="0"/>
        <v>0.58691910499139399</v>
      </c>
      <c r="D44" s="1">
        <f t="shared" si="5"/>
        <v>1.4208333333333301</v>
      </c>
      <c r="F44" s="1">
        <f t="shared" si="6"/>
        <v>2.7320652173913</v>
      </c>
      <c r="O44" s="1">
        <f t="shared" si="4"/>
        <v>1</v>
      </c>
    </row>
    <row r="45" spans="1:15" x14ac:dyDescent="0.25">
      <c r="A45" s="1">
        <v>340</v>
      </c>
      <c r="B45" s="1">
        <f t="shared" si="0"/>
        <v>0.58751393534002205</v>
      </c>
      <c r="D45" s="1">
        <f t="shared" si="5"/>
        <v>1.42432432432432</v>
      </c>
      <c r="F45" s="1">
        <f t="shared" si="6"/>
        <v>2.7357394366197201</v>
      </c>
      <c r="O45" s="1">
        <f t="shared" si="4"/>
        <v>1</v>
      </c>
    </row>
    <row r="46" spans="1:15" x14ac:dyDescent="0.25">
      <c r="A46" s="1">
        <v>350</v>
      </c>
      <c r="B46" s="1">
        <f t="shared" si="0"/>
        <v>0.58807588075880801</v>
      </c>
      <c r="D46" s="1">
        <f t="shared" si="5"/>
        <v>1.4276315789473699</v>
      </c>
      <c r="F46" s="1">
        <f t="shared" si="6"/>
        <v>2.73921232876712</v>
      </c>
      <c r="O46" s="1">
        <f t="shared" si="4"/>
        <v>1</v>
      </c>
    </row>
    <row r="47" spans="1:15" x14ac:dyDescent="0.25">
      <c r="A47" s="1">
        <v>360</v>
      </c>
      <c r="B47" s="1">
        <f t="shared" si="0"/>
        <v>0.588607594936709</v>
      </c>
      <c r="D47" s="1">
        <f t="shared" si="5"/>
        <v>1.4307692307692299</v>
      </c>
      <c r="F47" s="1">
        <f t="shared" si="6"/>
        <v>2.7425000000000002</v>
      </c>
      <c r="O47" s="1">
        <f t="shared" si="4"/>
        <v>1</v>
      </c>
    </row>
    <row r="48" spans="1:15" x14ac:dyDescent="0.25">
      <c r="A48" s="1">
        <v>370</v>
      </c>
      <c r="B48" s="1">
        <f t="shared" si="0"/>
        <v>0.58911145351823302</v>
      </c>
      <c r="D48" s="1">
        <f t="shared" si="5"/>
        <v>1.4337500000000001</v>
      </c>
      <c r="F48" s="1">
        <f t="shared" si="6"/>
        <v>2.7456168831168801</v>
      </c>
      <c r="O48" s="1">
        <f t="shared" si="4"/>
        <v>1</v>
      </c>
    </row>
    <row r="49" spans="1:15" x14ac:dyDescent="0.25">
      <c r="A49" s="1">
        <v>380</v>
      </c>
      <c r="B49" s="1">
        <f t="shared" si="0"/>
        <v>0.58958958958958996</v>
      </c>
      <c r="D49" s="1">
        <f t="shared" si="5"/>
        <v>1.43658536585366</v>
      </c>
      <c r="F49" s="1">
        <f t="shared" si="6"/>
        <v>2.74857594936709</v>
      </c>
      <c r="O49" s="1">
        <f t="shared" si="4"/>
        <v>1</v>
      </c>
    </row>
    <row r="50" spans="1:15" x14ac:dyDescent="0.25">
      <c r="A50" s="1">
        <v>390</v>
      </c>
      <c r="B50" s="1">
        <f t="shared" si="0"/>
        <v>0.59004392386530002</v>
      </c>
      <c r="D50" s="1">
        <f t="shared" si="5"/>
        <v>1.4392857142857101</v>
      </c>
      <c r="F50" s="1">
        <f t="shared" si="6"/>
        <v>2.75138888888889</v>
      </c>
      <c r="O50" s="1">
        <f t="shared" si="4"/>
        <v>1</v>
      </c>
    </row>
    <row r="51" spans="1:15" x14ac:dyDescent="0.25">
      <c r="A51" s="1">
        <v>400</v>
      </c>
      <c r="B51" s="1">
        <f t="shared" si="0"/>
        <v>0.59047619047619004</v>
      </c>
      <c r="D51" s="1">
        <f t="shared" si="5"/>
        <v>1.4418604651162801</v>
      </c>
      <c r="F51" s="1">
        <f t="shared" si="6"/>
        <v>2.7540662650602399</v>
      </c>
      <c r="O51" s="1">
        <f t="shared" si="4"/>
        <v>1</v>
      </c>
    </row>
    <row r="52" spans="1:15" x14ac:dyDescent="0.25">
      <c r="A52" s="1">
        <v>410</v>
      </c>
      <c r="B52" s="1">
        <f t="shared" si="0"/>
        <v>0.59088795908879599</v>
      </c>
      <c r="D52" s="1">
        <f t="shared" si="5"/>
        <v>1.4443181818181801</v>
      </c>
      <c r="F52" s="1">
        <f t="shared" si="6"/>
        <v>2.7566176470588202</v>
      </c>
      <c r="O52" s="1">
        <f t="shared" si="4"/>
        <v>1</v>
      </c>
    </row>
    <row r="53" spans="1:15" x14ac:dyDescent="0.25">
      <c r="A53" s="1">
        <v>420</v>
      </c>
      <c r="B53" s="1">
        <f t="shared" si="0"/>
        <v>0.59128065395095397</v>
      </c>
      <c r="D53" s="1">
        <f t="shared" si="5"/>
        <v>1.4466666666666701</v>
      </c>
      <c r="F53" s="1">
        <f t="shared" si="6"/>
        <v>2.75905172413793</v>
      </c>
      <c r="O53" s="1">
        <f t="shared" si="4"/>
        <v>1</v>
      </c>
    </row>
    <row r="54" spans="1:15" x14ac:dyDescent="0.25">
      <c r="A54" s="1">
        <v>430</v>
      </c>
      <c r="B54" s="1">
        <f t="shared" si="0"/>
        <v>0.59165557035064398</v>
      </c>
      <c r="D54" s="1">
        <f t="shared" si="5"/>
        <v>1.44891304347826</v>
      </c>
      <c r="F54" s="1">
        <f t="shared" si="6"/>
        <v>2.76137640449438</v>
      </c>
      <c r="O54" s="1">
        <f t="shared" si="4"/>
        <v>1</v>
      </c>
    </row>
    <row r="55" spans="1:15" x14ac:dyDescent="0.25">
      <c r="A55" s="1">
        <v>440</v>
      </c>
      <c r="B55" s="1">
        <f t="shared" si="0"/>
        <v>0.59201388888888895</v>
      </c>
      <c r="D55" s="1">
        <f t="shared" si="5"/>
        <v>1.45106382978723</v>
      </c>
      <c r="F55" s="1">
        <f t="shared" si="6"/>
        <v>2.7635989010988999</v>
      </c>
      <c r="O55" s="1">
        <f t="shared" si="4"/>
        <v>1</v>
      </c>
    </row>
    <row r="56" spans="1:15" x14ac:dyDescent="0.25">
      <c r="A56" s="1">
        <v>450</v>
      </c>
      <c r="B56" s="1">
        <f t="shared" si="0"/>
        <v>0.59235668789808904</v>
      </c>
      <c r="D56" s="1">
        <f t="shared" si="5"/>
        <v>1.453125</v>
      </c>
      <c r="F56" s="1">
        <f t="shared" si="6"/>
        <v>2.7657258064516101</v>
      </c>
      <c r="O56" s="1">
        <f t="shared" si="4"/>
        <v>1</v>
      </c>
    </row>
    <row r="57" spans="1:15" x14ac:dyDescent="0.25">
      <c r="A57" s="1">
        <v>460</v>
      </c>
      <c r="B57" s="1">
        <f t="shared" si="0"/>
        <v>0.59268495428096402</v>
      </c>
      <c r="D57" s="1">
        <f t="shared" si="5"/>
        <v>1.45510204081633</v>
      </c>
      <c r="F57" s="1">
        <f t="shared" si="6"/>
        <v>2.7677631578947399</v>
      </c>
      <c r="O57" s="1">
        <f t="shared" si="4"/>
        <v>1</v>
      </c>
    </row>
    <row r="58" spans="1:15" x14ac:dyDescent="0.25">
      <c r="A58" s="1">
        <v>470</v>
      </c>
      <c r="B58" s="1">
        <f t="shared" si="0"/>
        <v>0.59299959299959304</v>
      </c>
      <c r="D58" s="1">
        <f t="shared" si="5"/>
        <v>1.4570000000000001</v>
      </c>
      <c r="F58" s="1">
        <f t="shared" si="6"/>
        <v>2.7697164948453601</v>
      </c>
      <c r="O58" s="1">
        <f t="shared" si="4"/>
        <v>1</v>
      </c>
    </row>
    <row r="59" spans="1:15" x14ac:dyDescent="0.25">
      <c r="A59" s="1">
        <v>480</v>
      </c>
      <c r="B59" s="1">
        <f t="shared" si="0"/>
        <v>0.593301435406699</v>
      </c>
      <c r="D59" s="1">
        <f t="shared" si="5"/>
        <v>1.45882352941176</v>
      </c>
      <c r="F59" s="1">
        <f t="shared" si="6"/>
        <v>2.7715909090909099</v>
      </c>
      <c r="O59" s="1">
        <f t="shared" si="4"/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53" sqref="D53"/>
    </sheetView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lysandros li</cp:lastModifiedBy>
  <dcterms:created xsi:type="dcterms:W3CDTF">2006-09-16T00:00:00Z</dcterms:created>
  <dcterms:modified xsi:type="dcterms:W3CDTF">2025-12-30T16:27:37Z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321A00FABE56430686E0DC3F987691A4</vt:lpwstr>
  </property>
</Properties>
</file>