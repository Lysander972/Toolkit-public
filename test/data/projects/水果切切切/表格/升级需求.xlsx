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<sst xmlns="http://schemas.openxmlformats.org/spreadsheetml/2006/main" count="123" uniqueCount="62">
  <si>
    <t>id</t>
  </si>
  <si>
    <t>升级总需求</t>
  </si>
  <si>
    <t>升级需求</t>
  </si>
  <si>
    <t>攻方HP倍数</t>
  </si>
  <si>
    <t>攻方单次点赞强度期望(含暴击)</t>
  </si>
  <si>
    <t>守方点赞乘数(原始)</t>
  </si>
  <si>
    <t>守方点赞乘数</t>
  </si>
  <si>
    <t>守方单次点赞强度期望(含暴击)</t>
  </si>
  <si>
    <t>单次点赞强度对比</t>
  </si>
  <si>
    <t>攻方冷却</t>
  </si>
  <si>
    <t>攻方有效发射数</t>
  </si>
  <si>
    <t>攻方标准投射量</t>
  </si>
  <si>
    <t>攻方暴击率</t>
  </si>
  <si>
    <t>攻方暴击倍数</t>
  </si>
  <si>
    <t>攻方单轮投射量期望</t>
  </si>
  <si>
    <t>攻方单位时间投射量期望</t>
  </si>
  <si>
    <t>守方冷却</t>
  </si>
  <si>
    <t>守方发射数</t>
  </si>
  <si>
    <t>守方有效发射数</t>
  </si>
  <si>
    <t>守方标准投射量</t>
  </si>
  <si>
    <t>守方暴击率</t>
  </si>
  <si>
    <t>守方暴击倍数</t>
  </si>
  <si>
    <t>守方单轮投射量期望</t>
  </si>
  <si>
    <t>守方单位时间投射量期望</t>
  </si>
  <si>
    <t>单位时间投射量对比</t>
  </si>
  <si>
    <t>攻方炮塔缩放</t>
  </si>
  <si>
    <t>守方炮塔缩放</t>
  </si>
  <si>
    <t>边框颜色</t>
  </si>
  <si>
    <t>边框自发光</t>
  </si>
  <si>
    <t>等级</t>
  </si>
  <si>
    <t>long</t>
  </si>
  <si>
    <t>float</t>
  </si>
  <si>
    <t>color</t>
  </si>
  <si>
    <t>0;0;0;255</t>
  </si>
  <si>
    <t>127;127;127;255</t>
  </si>
  <si>
    <t>191;191;191;255</t>
  </si>
  <si>
    <t>191;191;0;255</t>
  </si>
  <si>
    <t>127;127;0;255</t>
  </si>
  <si>
    <t>0;191;191;255</t>
  </si>
  <si>
    <t>0;127;127;255</t>
  </si>
  <si>
    <t>191;161;191;255</t>
  </si>
  <si>
    <t>127;107;127;255</t>
  </si>
  <si>
    <t>127;107;127;256</t>
  </si>
  <si>
    <t>127;107;127;257</t>
  </si>
  <si>
    <t>191;127;127;255</t>
  </si>
  <si>
    <t>191;0;0;255</t>
  </si>
  <si>
    <t>191;127;127;256</t>
  </si>
  <si>
    <t>191;127;127;257</t>
  </si>
  <si>
    <t>255;255;127;255</t>
  </si>
  <si>
    <t>510;510;0;255</t>
  </si>
  <si>
    <t>127;191;191;255</t>
  </si>
  <si>
    <t>0;510;510;255</t>
  </si>
  <si>
    <t>255;215;255;255</t>
  </si>
  <si>
    <t>510;230;510;255</t>
  </si>
  <si>
    <t>255;191;191;255</t>
  </si>
  <si>
    <t>510;0;0;255</t>
  </si>
  <si>
    <t>255;255;0;255</t>
  </si>
  <si>
    <t>0;765;0;255</t>
  </si>
  <si>
    <t>0;255;255;255</t>
  </si>
  <si>
    <t>765;645;765;255</t>
  </si>
  <si>
    <t>0;0;0;256</t>
  </si>
  <si>
    <t>765;645;765;256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</si>
</sst>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5"/>
  <sheetViews>
    <sheetView tabSelected="1" zoomScale="115" zoomScaleNormal="115" topLeftCell="I1" workbookViewId="0">
      <selection activeCell="Z5" sqref="Z5"/>
    </sheetView>
  </sheetViews>
  <sheetFormatPr defaultColWidth="9" defaultRowHeight="14.4"/>
  <cols>
    <col min="1" max="1" width="5.66666666666667" customWidth="1"/>
    <col min="2" max="2" width="10.7777777777778" customWidth="1"/>
    <col min="3" max="3" width="8.77777777777778" customWidth="1"/>
    <col min="4" max="7" width="10.7777777777778" customWidth="1"/>
    <col min="8" max="8" width="12.8888888888889" customWidth="1"/>
    <col min="9" max="9" width="8.77777777777778" customWidth="1"/>
    <col min="10" max="11" width="10.7777777777778" customWidth="1"/>
    <col min="12" max="12" width="10.7777777777778" hidden="1" customWidth="1"/>
    <col min="13" max="15" width="10.7777777777778" customWidth="1"/>
    <col min="16" max="16" width="8.77777777777778" customWidth="1"/>
    <col min="17" max="22" width="10.7777777777778" customWidth="1"/>
    <col min="23" max="24" width="10.7777777777778" hidden="1" customWidth="1"/>
    <col min="25" max="27" width="10.7777777777778" customWidth="1"/>
    <col min="28" max="28" width="17.5555555555556" customWidth="1"/>
    <col min="29" max="29" width="10.7777777777778" customWidth="1"/>
    <col min="30" max="30" width="16.4444444444444" customWidth="1"/>
  </cols>
  <sheetData>
    <row r="1" s="1" customFormat="1" ht="43.2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5">
      <c r="A2" t="s">
        <v>29</v>
      </c>
      <c r="D2">
        <v>0.3333334</v>
      </c>
      <c r="F2">
        <v>0.3333334</v>
      </c>
      <c r="I2" s="3"/>
      <c r="J2">
        <v>0</v>
      </c>
      <c r="R2">
        <v>0.334</v>
      </c>
      <c r="U2">
        <v>0.01</v>
      </c>
      <c r="V2">
        <v>0</v>
      </c>
      <c r="Y2" s="3"/>
    </row>
    <row r="3" spans="1:29">
      <c r="A3" t="s">
        <v>30</v>
      </c>
      <c r="B3" t="s">
        <v>30</v>
      </c>
      <c r="C3" t="s">
        <v>30</v>
      </c>
      <c r="D3" t="s">
        <v>31</v>
      </c>
      <c r="E3" t="s">
        <v>31</v>
      </c>
      <c r="F3" t="s">
        <v>31</v>
      </c>
      <c r="G3" t="s">
        <v>30</v>
      </c>
      <c r="H3" t="s">
        <v>31</v>
      </c>
      <c r="I3" s="3" t="s">
        <v>31</v>
      </c>
      <c r="J3" t="s">
        <v>31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30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s="3" t="s">
        <v>31</v>
      </c>
      <c r="Z3" t="s">
        <v>31</v>
      </c>
      <c r="AA3" t="s">
        <v>31</v>
      </c>
      <c r="AB3" t="s">
        <v>32</v>
      </c>
      <c r="AC3" t="s">
        <v>32</v>
      </c>
    </row>
    <row r="4" spans="1:29">
      <c r="A4">
        <v>0</v>
      </c>
      <c r="B4">
        <v>0</v>
      </c>
      <c r="C4">
        <f>B5-B4</f>
        <v>0</v>
      </c>
      <c r="D4">
        <v>1</v>
      </c>
      <c r="E4">
        <f>2*3*D4*(1+M4*(N4-1))</f>
        <v>6.0375</v>
      </c>
      <c r="F4">
        <v>9</v>
      </c>
      <c r="G4">
        <f>FLOOR(F4,1)</f>
        <v>9</v>
      </c>
      <c r="H4">
        <f>G4*0.5*(1+U4*(V4-1))</f>
        <v>4.5</v>
      </c>
      <c r="I4" s="3">
        <f>E4/H4</f>
        <v>1.34166666666667</v>
      </c>
      <c r="J4">
        <v>0.5</v>
      </c>
      <c r="K4">
        <v>1</v>
      </c>
      <c r="L4">
        <f>1*3*K4*D4</f>
        <v>3</v>
      </c>
      <c r="M4">
        <v>0.025</v>
      </c>
      <c r="N4">
        <f>1.25+A4/4*0.1</f>
        <v>1.25</v>
      </c>
      <c r="O4">
        <f>L4*(1+M4*(N4-1))</f>
        <v>3.01875</v>
      </c>
      <c r="P4">
        <f>1/J4*O4</f>
        <v>6.0375</v>
      </c>
      <c r="Q4">
        <v>0.2</v>
      </c>
      <c r="R4">
        <v>1.35</v>
      </c>
      <c r="S4">
        <f>MAX(FLOOR(R4,1),1)</f>
        <v>1</v>
      </c>
      <c r="T4">
        <f>1*S4</f>
        <v>1</v>
      </c>
      <c r="U4">
        <v>0</v>
      </c>
      <c r="V4">
        <v>2</v>
      </c>
      <c r="W4">
        <f>T4*(1+U4*(V4-1))</f>
        <v>1</v>
      </c>
      <c r="X4">
        <f>1/Q4*W4</f>
        <v>5</v>
      </c>
      <c r="Y4" s="3">
        <f>P4/X4</f>
        <v>1.2075</v>
      </c>
      <c r="Z4">
        <v>3.8</v>
      </c>
      <c r="AA4">
        <v>5</v>
      </c>
      <c r="AB4" t="s">
        <v>33</v>
      </c>
      <c r="AC4" t="s">
        <v>34</v>
      </c>
    </row>
    <row r="5" spans="1:29">
      <c r="A5">
        <v>1</v>
      </c>
      <c r="B5">
        <v>0</v>
      </c>
      <c r="C5">
        <f>B6-B5</f>
        <v>1</v>
      </c>
      <c r="D5">
        <v>1</v>
      </c>
      <c r="E5">
        <f t="shared" ref="E5:E35" si="0">2*3*D5*(1+M5*(N5-1))</f>
        <v>6</v>
      </c>
      <c r="F5">
        <v>10</v>
      </c>
      <c r="G5">
        <f t="shared" ref="G5:G35" si="1">FLOOR(F5,1)</f>
        <v>10</v>
      </c>
      <c r="H5">
        <f t="shared" ref="H5:H35" si="2">G5*0.5*(1+U5*(V5-1))</f>
        <v>5.05</v>
      </c>
      <c r="I5" s="3">
        <f t="shared" ref="I5:I35" si="3">E5/H5</f>
        <v>1.18811881188119</v>
      </c>
      <c r="J5">
        <v>0.35</v>
      </c>
      <c r="K5">
        <v>1</v>
      </c>
      <c r="L5">
        <f t="shared" ref="L5:L35" si="4">1*3*K5*D5</f>
        <v>3</v>
      </c>
      <c r="M5">
        <v>0</v>
      </c>
      <c r="N5">
        <f t="shared" ref="N5:N35" si="5">1.25+A5/4*0.1</f>
        <v>1.275</v>
      </c>
      <c r="O5">
        <f t="shared" ref="O5:O35" si="6">L5*(1+M5*(N5-1))</f>
        <v>3</v>
      </c>
      <c r="P5">
        <f t="shared" ref="P5:P35" si="7">1/J5*O5</f>
        <v>8.57142857142857</v>
      </c>
      <c r="Q5">
        <v>0.14</v>
      </c>
      <c r="R5">
        <f>R4+R$2</f>
        <v>1.684</v>
      </c>
      <c r="S5">
        <f t="shared" ref="S5:S35" si="8">MAX(FLOOR(R5,1),1)</f>
        <v>1</v>
      </c>
      <c r="T5">
        <f t="shared" ref="T5:T35" si="9">1*S5</f>
        <v>1</v>
      </c>
      <c r="U5">
        <v>0.01</v>
      </c>
      <c r="V5">
        <f>V4+$V$2</f>
        <v>2</v>
      </c>
      <c r="W5">
        <f t="shared" ref="W5:W35" si="10">T5*(1+U5*(V5-1))</f>
        <v>1.01</v>
      </c>
      <c r="X5">
        <f t="shared" ref="X5:X35" si="11">1/Q5*W5</f>
        <v>7.21428571428571</v>
      </c>
      <c r="Y5" s="3">
        <f t="shared" ref="Y5:Y35" si="12">P5/X5</f>
        <v>1.18811881188119</v>
      </c>
      <c r="Z5">
        <v>3.8</v>
      </c>
      <c r="AA5">
        <f>AA4+0.4</f>
        <v>5.4</v>
      </c>
      <c r="AB5" t="s">
        <v>35</v>
      </c>
      <c r="AC5" t="s">
        <v>33</v>
      </c>
    </row>
    <row r="6" spans="1:29">
      <c r="A6">
        <v>2</v>
      </c>
      <c r="B6">
        <v>1</v>
      </c>
      <c r="C6">
        <f>B7-B6</f>
        <v>19</v>
      </c>
      <c r="D6">
        <f>D5+$D$2</f>
        <v>1.3333334</v>
      </c>
      <c r="E6">
        <f t="shared" si="0"/>
        <v>8.0000004</v>
      </c>
      <c r="F6">
        <f>F5+$F$2</f>
        <v>10.3333334</v>
      </c>
      <c r="G6">
        <f t="shared" si="1"/>
        <v>10</v>
      </c>
      <c r="H6">
        <f t="shared" si="2"/>
        <v>5.1</v>
      </c>
      <c r="I6" s="3">
        <f t="shared" si="3"/>
        <v>1.56862752941176</v>
      </c>
      <c r="J6">
        <v>0.3</v>
      </c>
      <c r="K6">
        <v>1</v>
      </c>
      <c r="L6">
        <f t="shared" si="4"/>
        <v>4.0000002</v>
      </c>
      <c r="M6">
        <v>0</v>
      </c>
      <c r="N6">
        <f t="shared" si="5"/>
        <v>1.3</v>
      </c>
      <c r="O6">
        <f t="shared" si="6"/>
        <v>4.0000002</v>
      </c>
      <c r="P6">
        <f t="shared" si="7"/>
        <v>13.333334</v>
      </c>
      <c r="Q6">
        <v>0.14</v>
      </c>
      <c r="R6">
        <f t="shared" ref="R6:R35" si="13">R5+R$2</f>
        <v>2.018</v>
      </c>
      <c r="S6">
        <f t="shared" si="8"/>
        <v>2</v>
      </c>
      <c r="T6">
        <f t="shared" si="9"/>
        <v>2</v>
      </c>
      <c r="U6">
        <f t="shared" ref="U6:U35" si="14">U5+$U$2</f>
        <v>0.02</v>
      </c>
      <c r="V6">
        <f t="shared" ref="V6:V35" si="15">V5+$V$2</f>
        <v>2</v>
      </c>
      <c r="W6">
        <f t="shared" si="10"/>
        <v>2.04</v>
      </c>
      <c r="X6">
        <f t="shared" si="11"/>
        <v>14.5714285714286</v>
      </c>
      <c r="Y6" s="3">
        <f t="shared" si="12"/>
        <v>0.915032725490196</v>
      </c>
      <c r="Z6">
        <v>3.8</v>
      </c>
      <c r="AA6">
        <f t="shared" ref="AA6:AA35" si="16">AA5+0.4</f>
        <v>5.8</v>
      </c>
      <c r="AB6" t="s">
        <v>36</v>
      </c>
      <c r="AC6" t="s">
        <v>37</v>
      </c>
    </row>
    <row r="7" spans="1:29">
      <c r="A7">
        <v>3</v>
      </c>
      <c r="B7">
        <v>20</v>
      </c>
      <c r="C7">
        <f>B8-B7</f>
        <v>30</v>
      </c>
      <c r="D7">
        <f t="shared" ref="D7:D35" si="17">D6+$D$2</f>
        <v>1.6666668</v>
      </c>
      <c r="E7">
        <f t="shared" si="0"/>
        <v>10.0000008</v>
      </c>
      <c r="F7">
        <f t="shared" ref="F6:F35" si="18">F6+$F$2</f>
        <v>10.6666668</v>
      </c>
      <c r="G7">
        <f t="shared" si="1"/>
        <v>10</v>
      </c>
      <c r="H7">
        <f t="shared" si="2"/>
        <v>5.15</v>
      </c>
      <c r="I7" s="3">
        <f t="shared" si="3"/>
        <v>1.94174772815534</v>
      </c>
      <c r="J7">
        <f t="shared" ref="J6:J35" si="19">J6+$J$2</f>
        <v>0.3</v>
      </c>
      <c r="K7">
        <v>1</v>
      </c>
      <c r="L7">
        <f t="shared" si="4"/>
        <v>5.0000004</v>
      </c>
      <c r="M7">
        <v>0</v>
      </c>
      <c r="N7">
        <f t="shared" si="5"/>
        <v>1.325</v>
      </c>
      <c r="O7">
        <f t="shared" si="6"/>
        <v>5.0000004</v>
      </c>
      <c r="P7">
        <f t="shared" si="7"/>
        <v>16.666668</v>
      </c>
      <c r="Q7">
        <v>0.14</v>
      </c>
      <c r="R7">
        <f t="shared" si="13"/>
        <v>2.352</v>
      </c>
      <c r="S7">
        <f t="shared" si="8"/>
        <v>2</v>
      </c>
      <c r="T7">
        <f t="shared" si="9"/>
        <v>2</v>
      </c>
      <c r="U7">
        <f t="shared" si="14"/>
        <v>0.03</v>
      </c>
      <c r="V7">
        <f t="shared" si="15"/>
        <v>2</v>
      </c>
      <c r="W7">
        <f t="shared" si="10"/>
        <v>2.06</v>
      </c>
      <c r="X7">
        <f t="shared" si="11"/>
        <v>14.7142857142857</v>
      </c>
      <c r="Y7" s="3">
        <f t="shared" si="12"/>
        <v>1.13268617475728</v>
      </c>
      <c r="Z7">
        <v>3.8</v>
      </c>
      <c r="AA7">
        <f t="shared" si="16"/>
        <v>6.2</v>
      </c>
      <c r="AB7" t="s">
        <v>36</v>
      </c>
      <c r="AC7" t="s">
        <v>37</v>
      </c>
    </row>
    <row r="8" spans="1:29">
      <c r="A8">
        <v>4</v>
      </c>
      <c r="B8">
        <v>50</v>
      </c>
      <c r="C8">
        <f t="shared" ref="C5:C33" si="20">B9-B8</f>
        <v>50</v>
      </c>
      <c r="D8">
        <f t="shared" si="17"/>
        <v>2.0000002</v>
      </c>
      <c r="E8">
        <f t="shared" si="0"/>
        <v>12.0000012</v>
      </c>
      <c r="F8">
        <f t="shared" si="18"/>
        <v>11.0000002</v>
      </c>
      <c r="G8">
        <f t="shared" si="1"/>
        <v>11</v>
      </c>
      <c r="H8">
        <f t="shared" si="2"/>
        <v>5.72</v>
      </c>
      <c r="I8" s="3">
        <f t="shared" si="3"/>
        <v>2.09790230769231</v>
      </c>
      <c r="J8">
        <f t="shared" si="19"/>
        <v>0.3</v>
      </c>
      <c r="K8">
        <v>1</v>
      </c>
      <c r="L8">
        <f t="shared" si="4"/>
        <v>6.0000006</v>
      </c>
      <c r="M8">
        <v>0</v>
      </c>
      <c r="N8">
        <f t="shared" si="5"/>
        <v>1.35</v>
      </c>
      <c r="O8">
        <f t="shared" si="6"/>
        <v>6.0000006</v>
      </c>
      <c r="P8">
        <f t="shared" si="7"/>
        <v>20.000002</v>
      </c>
      <c r="Q8">
        <v>0.14</v>
      </c>
      <c r="R8">
        <f t="shared" si="13"/>
        <v>2.686</v>
      </c>
      <c r="S8">
        <f t="shared" si="8"/>
        <v>2</v>
      </c>
      <c r="T8">
        <f t="shared" si="9"/>
        <v>2</v>
      </c>
      <c r="U8">
        <f t="shared" si="14"/>
        <v>0.04</v>
      </c>
      <c r="V8">
        <f t="shared" si="15"/>
        <v>2</v>
      </c>
      <c r="W8">
        <f t="shared" si="10"/>
        <v>2.08</v>
      </c>
      <c r="X8">
        <f t="shared" si="11"/>
        <v>14.8571428571429</v>
      </c>
      <c r="Y8" s="3">
        <f t="shared" si="12"/>
        <v>1.34615398076923</v>
      </c>
      <c r="Z8">
        <v>3.8</v>
      </c>
      <c r="AA8">
        <f t="shared" si="16"/>
        <v>6.6</v>
      </c>
      <c r="AB8" t="s">
        <v>36</v>
      </c>
      <c r="AC8" t="s">
        <v>37</v>
      </c>
    </row>
    <row r="9" spans="1:29">
      <c r="A9">
        <v>5</v>
      </c>
      <c r="B9">
        <v>100</v>
      </c>
      <c r="C9">
        <f t="shared" si="20"/>
        <v>150</v>
      </c>
      <c r="D9">
        <f t="shared" si="17"/>
        <v>2.3333336</v>
      </c>
      <c r="E9">
        <f t="shared" si="0"/>
        <v>14.0000016</v>
      </c>
      <c r="F9">
        <f t="shared" si="18"/>
        <v>11.3333336</v>
      </c>
      <c r="G9">
        <f t="shared" si="1"/>
        <v>11</v>
      </c>
      <c r="H9">
        <f t="shared" si="2"/>
        <v>5.775</v>
      </c>
      <c r="I9" s="3">
        <f t="shared" si="3"/>
        <v>2.4242427012987</v>
      </c>
      <c r="J9">
        <f t="shared" si="19"/>
        <v>0.3</v>
      </c>
      <c r="K9">
        <v>1</v>
      </c>
      <c r="L9">
        <f t="shared" si="4"/>
        <v>7.0000008</v>
      </c>
      <c r="M9">
        <v>0</v>
      </c>
      <c r="N9">
        <f t="shared" si="5"/>
        <v>1.375</v>
      </c>
      <c r="O9">
        <f t="shared" si="6"/>
        <v>7.0000008</v>
      </c>
      <c r="P9">
        <f t="shared" si="7"/>
        <v>23.333336</v>
      </c>
      <c r="Q9">
        <v>0.14</v>
      </c>
      <c r="R9">
        <f t="shared" si="13"/>
        <v>3.02</v>
      </c>
      <c r="S9">
        <f t="shared" si="8"/>
        <v>3</v>
      </c>
      <c r="T9">
        <f t="shared" si="9"/>
        <v>3</v>
      </c>
      <c r="U9">
        <f t="shared" si="14"/>
        <v>0.05</v>
      </c>
      <c r="V9">
        <f t="shared" si="15"/>
        <v>2</v>
      </c>
      <c r="W9">
        <f t="shared" si="10"/>
        <v>3.15</v>
      </c>
      <c r="X9">
        <f t="shared" si="11"/>
        <v>22.5</v>
      </c>
      <c r="Y9" s="3">
        <f t="shared" si="12"/>
        <v>1.03703715555556</v>
      </c>
      <c r="Z9">
        <v>3.8</v>
      </c>
      <c r="AA9">
        <f t="shared" si="16"/>
        <v>7</v>
      </c>
      <c r="AB9" t="s">
        <v>38</v>
      </c>
      <c r="AC9" t="s">
        <v>39</v>
      </c>
    </row>
    <row r="10" spans="1:29">
      <c r="A10">
        <v>6</v>
      </c>
      <c r="B10">
        <v>250</v>
      </c>
      <c r="C10">
        <f t="shared" si="20"/>
        <v>250</v>
      </c>
      <c r="D10">
        <f t="shared" si="17"/>
        <v>2.666667</v>
      </c>
      <c r="E10">
        <f t="shared" si="0"/>
        <v>16.000002</v>
      </c>
      <c r="F10">
        <f t="shared" si="18"/>
        <v>11.666667</v>
      </c>
      <c r="G10">
        <f t="shared" si="1"/>
        <v>11</v>
      </c>
      <c r="H10">
        <f t="shared" si="2"/>
        <v>5.83</v>
      </c>
      <c r="I10" s="3">
        <f t="shared" si="3"/>
        <v>2.74442572898799</v>
      </c>
      <c r="J10">
        <f t="shared" si="19"/>
        <v>0.3</v>
      </c>
      <c r="K10">
        <v>1</v>
      </c>
      <c r="L10">
        <f t="shared" si="4"/>
        <v>8.000001</v>
      </c>
      <c r="M10">
        <v>0</v>
      </c>
      <c r="N10">
        <f t="shared" si="5"/>
        <v>1.4</v>
      </c>
      <c r="O10">
        <f t="shared" si="6"/>
        <v>8.000001</v>
      </c>
      <c r="P10">
        <f t="shared" si="7"/>
        <v>26.66667</v>
      </c>
      <c r="Q10">
        <v>0.14</v>
      </c>
      <c r="R10">
        <f t="shared" si="13"/>
        <v>3.354</v>
      </c>
      <c r="S10">
        <f t="shared" si="8"/>
        <v>3</v>
      </c>
      <c r="T10">
        <f t="shared" si="9"/>
        <v>3</v>
      </c>
      <c r="U10">
        <f t="shared" si="14"/>
        <v>0.06</v>
      </c>
      <c r="V10">
        <f t="shared" si="15"/>
        <v>2</v>
      </c>
      <c r="W10">
        <f t="shared" si="10"/>
        <v>3.18</v>
      </c>
      <c r="X10">
        <f t="shared" si="11"/>
        <v>22.7142857142857</v>
      </c>
      <c r="Y10" s="3">
        <f t="shared" si="12"/>
        <v>1.17400433962264</v>
      </c>
      <c r="Z10">
        <v>3.8</v>
      </c>
      <c r="AA10">
        <f t="shared" si="16"/>
        <v>7.4</v>
      </c>
      <c r="AB10" t="s">
        <v>38</v>
      </c>
      <c r="AC10" t="s">
        <v>39</v>
      </c>
    </row>
    <row r="11" spans="1:29">
      <c r="A11">
        <v>7</v>
      </c>
      <c r="B11">
        <v>500</v>
      </c>
      <c r="C11">
        <f t="shared" si="20"/>
        <v>300</v>
      </c>
      <c r="D11">
        <f t="shared" si="17"/>
        <v>3.0000004</v>
      </c>
      <c r="E11">
        <f t="shared" si="0"/>
        <v>18.0000024</v>
      </c>
      <c r="F11">
        <f t="shared" si="18"/>
        <v>12.0000004</v>
      </c>
      <c r="G11">
        <f t="shared" si="1"/>
        <v>12</v>
      </c>
      <c r="H11">
        <f t="shared" si="2"/>
        <v>6.42</v>
      </c>
      <c r="I11" s="3">
        <f t="shared" si="3"/>
        <v>2.80373869158878</v>
      </c>
      <c r="J11">
        <f t="shared" si="19"/>
        <v>0.3</v>
      </c>
      <c r="K11">
        <v>1</v>
      </c>
      <c r="L11">
        <f t="shared" si="4"/>
        <v>9.0000012</v>
      </c>
      <c r="M11">
        <v>0</v>
      </c>
      <c r="N11">
        <f t="shared" si="5"/>
        <v>1.425</v>
      </c>
      <c r="O11">
        <f t="shared" si="6"/>
        <v>9.0000012</v>
      </c>
      <c r="P11">
        <f t="shared" si="7"/>
        <v>30.000004</v>
      </c>
      <c r="Q11">
        <v>0.14</v>
      </c>
      <c r="R11">
        <f t="shared" si="13"/>
        <v>3.688</v>
      </c>
      <c r="S11">
        <f t="shared" si="8"/>
        <v>3</v>
      </c>
      <c r="T11">
        <f t="shared" si="9"/>
        <v>3</v>
      </c>
      <c r="U11">
        <f t="shared" si="14"/>
        <v>0.07</v>
      </c>
      <c r="V11">
        <f t="shared" si="15"/>
        <v>2</v>
      </c>
      <c r="W11">
        <f t="shared" si="10"/>
        <v>3.21</v>
      </c>
      <c r="X11">
        <f t="shared" si="11"/>
        <v>22.9285714285714</v>
      </c>
      <c r="Y11" s="3">
        <f t="shared" si="12"/>
        <v>1.3084113894081</v>
      </c>
      <c r="Z11">
        <v>3.8</v>
      </c>
      <c r="AA11">
        <f t="shared" si="16"/>
        <v>7.8</v>
      </c>
      <c r="AB11" t="s">
        <v>38</v>
      </c>
      <c r="AC11" t="s">
        <v>39</v>
      </c>
    </row>
    <row r="12" spans="1:29">
      <c r="A12">
        <v>8</v>
      </c>
      <c r="B12">
        <v>800</v>
      </c>
      <c r="C12">
        <f t="shared" si="20"/>
        <v>400</v>
      </c>
      <c r="D12">
        <f t="shared" si="17"/>
        <v>3.3333338</v>
      </c>
      <c r="E12">
        <f t="shared" si="0"/>
        <v>20.0000028</v>
      </c>
      <c r="F12">
        <f t="shared" si="18"/>
        <v>12.3333338</v>
      </c>
      <c r="G12">
        <f t="shared" si="1"/>
        <v>12</v>
      </c>
      <c r="H12">
        <f t="shared" si="2"/>
        <v>6.48</v>
      </c>
      <c r="I12" s="3">
        <f t="shared" si="3"/>
        <v>3.08642018518518</v>
      </c>
      <c r="J12">
        <f t="shared" si="19"/>
        <v>0.3</v>
      </c>
      <c r="K12">
        <v>1</v>
      </c>
      <c r="L12">
        <f t="shared" si="4"/>
        <v>10.0000014</v>
      </c>
      <c r="M12">
        <v>0</v>
      </c>
      <c r="N12">
        <f t="shared" si="5"/>
        <v>1.45</v>
      </c>
      <c r="O12">
        <f t="shared" si="6"/>
        <v>10.0000014</v>
      </c>
      <c r="P12">
        <f t="shared" si="7"/>
        <v>33.333338</v>
      </c>
      <c r="Q12">
        <v>0.14</v>
      </c>
      <c r="R12">
        <f t="shared" si="13"/>
        <v>4.022</v>
      </c>
      <c r="S12">
        <f t="shared" si="8"/>
        <v>4</v>
      </c>
      <c r="T12">
        <f t="shared" si="9"/>
        <v>4</v>
      </c>
      <c r="U12">
        <f t="shared" si="14"/>
        <v>0.08</v>
      </c>
      <c r="V12">
        <f t="shared" si="15"/>
        <v>2</v>
      </c>
      <c r="W12">
        <f t="shared" si="10"/>
        <v>4.32</v>
      </c>
      <c r="X12">
        <f t="shared" si="11"/>
        <v>30.8571428571429</v>
      </c>
      <c r="Y12" s="3">
        <f t="shared" si="12"/>
        <v>1.08024706481482</v>
      </c>
      <c r="Z12">
        <v>3.8</v>
      </c>
      <c r="AA12">
        <f t="shared" si="16"/>
        <v>8.2</v>
      </c>
      <c r="AB12" t="s">
        <v>40</v>
      </c>
      <c r="AC12" t="s">
        <v>41</v>
      </c>
    </row>
    <row r="13" spans="1:29">
      <c r="A13">
        <v>9</v>
      </c>
      <c r="B13">
        <v>1200</v>
      </c>
      <c r="C13">
        <f t="shared" si="20"/>
        <v>500</v>
      </c>
      <c r="D13">
        <f t="shared" si="17"/>
        <v>3.6666672</v>
      </c>
      <c r="E13">
        <f t="shared" si="0"/>
        <v>22.0000032</v>
      </c>
      <c r="F13">
        <f t="shared" si="18"/>
        <v>12.6666672</v>
      </c>
      <c r="G13">
        <f t="shared" si="1"/>
        <v>12</v>
      </c>
      <c r="H13">
        <f t="shared" si="2"/>
        <v>6.54</v>
      </c>
      <c r="I13" s="3">
        <f t="shared" si="3"/>
        <v>3.36391486238532</v>
      </c>
      <c r="J13">
        <f t="shared" si="19"/>
        <v>0.3</v>
      </c>
      <c r="K13">
        <v>1</v>
      </c>
      <c r="L13">
        <f t="shared" si="4"/>
        <v>11.0000016</v>
      </c>
      <c r="M13">
        <v>0</v>
      </c>
      <c r="N13">
        <f t="shared" si="5"/>
        <v>1.475</v>
      </c>
      <c r="O13">
        <f t="shared" si="6"/>
        <v>11.0000016</v>
      </c>
      <c r="P13">
        <f t="shared" si="7"/>
        <v>36.666672</v>
      </c>
      <c r="Q13">
        <v>0.14</v>
      </c>
      <c r="R13">
        <f t="shared" si="13"/>
        <v>4.356</v>
      </c>
      <c r="S13">
        <f t="shared" si="8"/>
        <v>4</v>
      </c>
      <c r="T13">
        <f t="shared" si="9"/>
        <v>4</v>
      </c>
      <c r="U13">
        <f t="shared" si="14"/>
        <v>0.09</v>
      </c>
      <c r="V13">
        <f t="shared" si="15"/>
        <v>2</v>
      </c>
      <c r="W13">
        <f t="shared" si="10"/>
        <v>4.36</v>
      </c>
      <c r="X13">
        <f t="shared" si="11"/>
        <v>31.1428571428571</v>
      </c>
      <c r="Y13" s="3">
        <f t="shared" si="12"/>
        <v>1.17737020183486</v>
      </c>
      <c r="Z13">
        <v>3.8</v>
      </c>
      <c r="AA13">
        <f t="shared" si="16"/>
        <v>8.6</v>
      </c>
      <c r="AB13" t="s">
        <v>40</v>
      </c>
      <c r="AC13" t="s">
        <v>42</v>
      </c>
    </row>
    <row r="14" spans="1:29">
      <c r="A14">
        <v>10</v>
      </c>
      <c r="B14">
        <v>1700</v>
      </c>
      <c r="C14">
        <f t="shared" si="20"/>
        <v>600</v>
      </c>
      <c r="D14">
        <f t="shared" si="17"/>
        <v>4.0000006</v>
      </c>
      <c r="E14">
        <f t="shared" si="0"/>
        <v>24.0000036</v>
      </c>
      <c r="F14">
        <f t="shared" si="18"/>
        <v>13.0000006</v>
      </c>
      <c r="G14">
        <f t="shared" si="1"/>
        <v>13</v>
      </c>
      <c r="H14">
        <f t="shared" si="2"/>
        <v>7.15</v>
      </c>
      <c r="I14" s="3">
        <f t="shared" si="3"/>
        <v>3.35664386013986</v>
      </c>
      <c r="J14">
        <f t="shared" si="19"/>
        <v>0.3</v>
      </c>
      <c r="K14">
        <v>1</v>
      </c>
      <c r="L14">
        <f t="shared" si="4"/>
        <v>12.0000018</v>
      </c>
      <c r="M14">
        <v>0</v>
      </c>
      <c r="N14">
        <f t="shared" si="5"/>
        <v>1.5</v>
      </c>
      <c r="O14">
        <f t="shared" si="6"/>
        <v>12.0000018</v>
      </c>
      <c r="P14">
        <f t="shared" si="7"/>
        <v>40.000006</v>
      </c>
      <c r="Q14">
        <v>0.14</v>
      </c>
      <c r="R14">
        <f t="shared" si="13"/>
        <v>4.69</v>
      </c>
      <c r="S14">
        <f t="shared" si="8"/>
        <v>4</v>
      </c>
      <c r="T14">
        <f t="shared" si="9"/>
        <v>4</v>
      </c>
      <c r="U14">
        <f t="shared" si="14"/>
        <v>0.1</v>
      </c>
      <c r="V14">
        <f t="shared" si="15"/>
        <v>2</v>
      </c>
      <c r="W14">
        <f t="shared" si="10"/>
        <v>4.4</v>
      </c>
      <c r="X14">
        <f t="shared" si="11"/>
        <v>31.4285714285714</v>
      </c>
      <c r="Y14" s="3">
        <f t="shared" si="12"/>
        <v>1.27272746363636</v>
      </c>
      <c r="Z14">
        <v>3.8</v>
      </c>
      <c r="AA14">
        <f t="shared" si="16"/>
        <v>9</v>
      </c>
      <c r="AB14" t="s">
        <v>40</v>
      </c>
      <c r="AC14" t="s">
        <v>43</v>
      </c>
    </row>
    <row r="15" spans="1:29">
      <c r="A15">
        <v>11</v>
      </c>
      <c r="B15">
        <v>2300</v>
      </c>
      <c r="C15">
        <f t="shared" si="20"/>
        <v>700</v>
      </c>
      <c r="D15">
        <f t="shared" si="17"/>
        <v>4.333334</v>
      </c>
      <c r="E15">
        <f t="shared" si="0"/>
        <v>26.000004</v>
      </c>
      <c r="F15">
        <f t="shared" si="18"/>
        <v>13.333334</v>
      </c>
      <c r="G15">
        <f t="shared" si="1"/>
        <v>13</v>
      </c>
      <c r="H15">
        <f t="shared" si="2"/>
        <v>7.215</v>
      </c>
      <c r="I15" s="3">
        <f t="shared" si="3"/>
        <v>3.60360415800416</v>
      </c>
      <c r="J15">
        <f t="shared" si="19"/>
        <v>0.3</v>
      </c>
      <c r="K15">
        <v>1</v>
      </c>
      <c r="L15">
        <f t="shared" si="4"/>
        <v>13.000002</v>
      </c>
      <c r="M15">
        <v>0</v>
      </c>
      <c r="N15">
        <f t="shared" si="5"/>
        <v>1.525</v>
      </c>
      <c r="O15">
        <f t="shared" si="6"/>
        <v>13.000002</v>
      </c>
      <c r="P15">
        <f t="shared" si="7"/>
        <v>43.33334</v>
      </c>
      <c r="Q15">
        <v>0.14</v>
      </c>
      <c r="R15">
        <f t="shared" si="13"/>
        <v>5.024</v>
      </c>
      <c r="S15">
        <f t="shared" si="8"/>
        <v>5</v>
      </c>
      <c r="T15">
        <f t="shared" si="9"/>
        <v>5</v>
      </c>
      <c r="U15">
        <f t="shared" si="14"/>
        <v>0.11</v>
      </c>
      <c r="V15">
        <f t="shared" si="15"/>
        <v>2</v>
      </c>
      <c r="W15">
        <f t="shared" si="10"/>
        <v>5.55</v>
      </c>
      <c r="X15">
        <f t="shared" si="11"/>
        <v>39.6428571428571</v>
      </c>
      <c r="Y15" s="3">
        <f t="shared" si="12"/>
        <v>1.09309326126126</v>
      </c>
      <c r="Z15">
        <v>3.8</v>
      </c>
      <c r="AA15">
        <f t="shared" si="16"/>
        <v>9.4</v>
      </c>
      <c r="AB15" t="s">
        <v>44</v>
      </c>
      <c r="AC15" t="s">
        <v>45</v>
      </c>
    </row>
    <row r="16" spans="1:29">
      <c r="A16">
        <v>12</v>
      </c>
      <c r="B16">
        <v>3000</v>
      </c>
      <c r="C16">
        <f t="shared" si="20"/>
        <v>800</v>
      </c>
      <c r="D16">
        <f t="shared" si="17"/>
        <v>4.6666674</v>
      </c>
      <c r="E16">
        <f t="shared" si="0"/>
        <v>28.0000044</v>
      </c>
      <c r="F16">
        <f t="shared" si="18"/>
        <v>13.6666674</v>
      </c>
      <c r="G16">
        <f t="shared" si="1"/>
        <v>13</v>
      </c>
      <c r="H16">
        <f t="shared" si="2"/>
        <v>7.28</v>
      </c>
      <c r="I16" s="3">
        <f t="shared" si="3"/>
        <v>3.84615445054945</v>
      </c>
      <c r="J16">
        <f t="shared" si="19"/>
        <v>0.3</v>
      </c>
      <c r="K16">
        <v>1</v>
      </c>
      <c r="L16">
        <f t="shared" si="4"/>
        <v>14.0000022</v>
      </c>
      <c r="M16">
        <v>0</v>
      </c>
      <c r="N16">
        <f t="shared" si="5"/>
        <v>1.55</v>
      </c>
      <c r="O16">
        <f t="shared" si="6"/>
        <v>14.0000022</v>
      </c>
      <c r="P16">
        <f t="shared" si="7"/>
        <v>46.666674</v>
      </c>
      <c r="Q16">
        <v>0.14</v>
      </c>
      <c r="R16">
        <f t="shared" si="13"/>
        <v>5.358</v>
      </c>
      <c r="S16">
        <f t="shared" si="8"/>
        <v>5</v>
      </c>
      <c r="T16">
        <f t="shared" si="9"/>
        <v>5</v>
      </c>
      <c r="U16">
        <f t="shared" si="14"/>
        <v>0.12</v>
      </c>
      <c r="V16">
        <f t="shared" si="15"/>
        <v>2</v>
      </c>
      <c r="W16">
        <f t="shared" si="10"/>
        <v>5.6</v>
      </c>
      <c r="X16">
        <f t="shared" si="11"/>
        <v>40</v>
      </c>
      <c r="Y16" s="3">
        <f t="shared" si="12"/>
        <v>1.16666685</v>
      </c>
      <c r="Z16">
        <v>3.8</v>
      </c>
      <c r="AA16">
        <f t="shared" si="16"/>
        <v>9.8</v>
      </c>
      <c r="AB16" t="s">
        <v>46</v>
      </c>
      <c r="AC16" t="s">
        <v>45</v>
      </c>
    </row>
    <row r="17" spans="1:29">
      <c r="A17">
        <v>13</v>
      </c>
      <c r="B17">
        <v>3800</v>
      </c>
      <c r="C17">
        <f t="shared" si="20"/>
        <v>900</v>
      </c>
      <c r="D17">
        <f t="shared" si="17"/>
        <v>5.0000008</v>
      </c>
      <c r="E17">
        <f t="shared" si="0"/>
        <v>30.0000048</v>
      </c>
      <c r="F17">
        <f t="shared" si="18"/>
        <v>14.0000008</v>
      </c>
      <c r="G17">
        <f t="shared" si="1"/>
        <v>14</v>
      </c>
      <c r="H17">
        <f t="shared" si="2"/>
        <v>7.91</v>
      </c>
      <c r="I17" s="3">
        <f t="shared" si="3"/>
        <v>3.79266811630847</v>
      </c>
      <c r="J17">
        <f t="shared" si="19"/>
        <v>0.3</v>
      </c>
      <c r="K17">
        <v>1</v>
      </c>
      <c r="L17">
        <f t="shared" si="4"/>
        <v>15.0000024</v>
      </c>
      <c r="M17">
        <v>0</v>
      </c>
      <c r="N17">
        <f t="shared" si="5"/>
        <v>1.575</v>
      </c>
      <c r="O17">
        <f t="shared" si="6"/>
        <v>15.0000024</v>
      </c>
      <c r="P17">
        <f t="shared" si="7"/>
        <v>50.000008</v>
      </c>
      <c r="Q17">
        <v>0.14</v>
      </c>
      <c r="R17">
        <f t="shared" si="13"/>
        <v>5.692</v>
      </c>
      <c r="S17">
        <f t="shared" si="8"/>
        <v>5</v>
      </c>
      <c r="T17">
        <f t="shared" si="9"/>
        <v>5</v>
      </c>
      <c r="U17">
        <f t="shared" si="14"/>
        <v>0.13</v>
      </c>
      <c r="V17">
        <f t="shared" si="15"/>
        <v>2</v>
      </c>
      <c r="W17">
        <f t="shared" si="10"/>
        <v>5.65</v>
      </c>
      <c r="X17">
        <f t="shared" si="11"/>
        <v>40.3571428571429</v>
      </c>
      <c r="Y17" s="3">
        <f t="shared" si="12"/>
        <v>1.23893825132743</v>
      </c>
      <c r="Z17">
        <v>3.8</v>
      </c>
      <c r="AA17">
        <f t="shared" si="16"/>
        <v>10.2</v>
      </c>
      <c r="AB17" t="s">
        <v>47</v>
      </c>
      <c r="AC17" t="s">
        <v>45</v>
      </c>
    </row>
    <row r="18" spans="1:29">
      <c r="A18">
        <v>14</v>
      </c>
      <c r="B18">
        <v>4700</v>
      </c>
      <c r="C18">
        <f t="shared" si="20"/>
        <v>1000</v>
      </c>
      <c r="D18">
        <f t="shared" si="17"/>
        <v>5.3333342</v>
      </c>
      <c r="E18">
        <f t="shared" si="0"/>
        <v>32.0000052</v>
      </c>
      <c r="F18">
        <f t="shared" si="18"/>
        <v>14.3333342</v>
      </c>
      <c r="G18">
        <f t="shared" si="1"/>
        <v>14</v>
      </c>
      <c r="H18">
        <f t="shared" si="2"/>
        <v>7.98</v>
      </c>
      <c r="I18" s="3">
        <f t="shared" si="3"/>
        <v>4.01002571428571</v>
      </c>
      <c r="J18">
        <f t="shared" si="19"/>
        <v>0.3</v>
      </c>
      <c r="K18">
        <v>1</v>
      </c>
      <c r="L18">
        <f t="shared" si="4"/>
        <v>16.0000026</v>
      </c>
      <c r="M18">
        <v>0</v>
      </c>
      <c r="N18">
        <f t="shared" si="5"/>
        <v>1.6</v>
      </c>
      <c r="O18">
        <f t="shared" si="6"/>
        <v>16.0000026</v>
      </c>
      <c r="P18">
        <f t="shared" si="7"/>
        <v>53.333342</v>
      </c>
      <c r="Q18">
        <v>0.14</v>
      </c>
      <c r="R18">
        <f t="shared" si="13"/>
        <v>6.026</v>
      </c>
      <c r="S18">
        <f t="shared" si="8"/>
        <v>6</v>
      </c>
      <c r="T18">
        <f t="shared" si="9"/>
        <v>6</v>
      </c>
      <c r="U18">
        <f t="shared" si="14"/>
        <v>0.14</v>
      </c>
      <c r="V18">
        <f t="shared" si="15"/>
        <v>2</v>
      </c>
      <c r="W18">
        <f t="shared" si="10"/>
        <v>6.84</v>
      </c>
      <c r="X18">
        <f t="shared" si="11"/>
        <v>48.8571428571429</v>
      </c>
      <c r="Y18" s="3">
        <f t="shared" si="12"/>
        <v>1.09161811111111</v>
      </c>
      <c r="Z18">
        <v>3.8</v>
      </c>
      <c r="AA18">
        <f t="shared" si="16"/>
        <v>10.6</v>
      </c>
      <c r="AB18" t="s">
        <v>48</v>
      </c>
      <c r="AC18" t="s">
        <v>49</v>
      </c>
    </row>
    <row r="19" spans="1:29">
      <c r="A19">
        <v>15</v>
      </c>
      <c r="B19">
        <v>5700</v>
      </c>
      <c r="C19">
        <f t="shared" si="20"/>
        <v>1200</v>
      </c>
      <c r="D19">
        <f t="shared" si="17"/>
        <v>5.6666676</v>
      </c>
      <c r="E19">
        <f t="shared" si="0"/>
        <v>34.0000056</v>
      </c>
      <c r="F19">
        <f t="shared" si="18"/>
        <v>14.6666676</v>
      </c>
      <c r="G19">
        <f t="shared" si="1"/>
        <v>14</v>
      </c>
      <c r="H19">
        <f t="shared" si="2"/>
        <v>8.05</v>
      </c>
      <c r="I19" s="3">
        <f t="shared" si="3"/>
        <v>4.22360318012422</v>
      </c>
      <c r="J19">
        <f t="shared" si="19"/>
        <v>0.3</v>
      </c>
      <c r="K19">
        <v>1</v>
      </c>
      <c r="L19">
        <f t="shared" si="4"/>
        <v>17.0000028</v>
      </c>
      <c r="M19">
        <v>0</v>
      </c>
      <c r="N19">
        <f t="shared" si="5"/>
        <v>1.625</v>
      </c>
      <c r="O19">
        <f t="shared" si="6"/>
        <v>17.0000028</v>
      </c>
      <c r="P19">
        <f t="shared" si="7"/>
        <v>56.666676</v>
      </c>
      <c r="Q19">
        <v>0.14</v>
      </c>
      <c r="R19">
        <f t="shared" si="13"/>
        <v>6.36</v>
      </c>
      <c r="S19">
        <f t="shared" si="8"/>
        <v>6</v>
      </c>
      <c r="T19">
        <f t="shared" si="9"/>
        <v>6</v>
      </c>
      <c r="U19">
        <f t="shared" si="14"/>
        <v>0.15</v>
      </c>
      <c r="V19">
        <f t="shared" si="15"/>
        <v>2</v>
      </c>
      <c r="W19">
        <f t="shared" si="10"/>
        <v>6.9</v>
      </c>
      <c r="X19">
        <f t="shared" si="11"/>
        <v>49.2857142857143</v>
      </c>
      <c r="Y19" s="3">
        <f t="shared" si="12"/>
        <v>1.14975864347826</v>
      </c>
      <c r="Z19">
        <v>3.8</v>
      </c>
      <c r="AA19">
        <f t="shared" si="16"/>
        <v>11</v>
      </c>
      <c r="AB19" t="s">
        <v>48</v>
      </c>
      <c r="AC19" t="s">
        <v>49</v>
      </c>
    </row>
    <row r="20" spans="1:29">
      <c r="A20">
        <v>16</v>
      </c>
      <c r="B20">
        <v>6900</v>
      </c>
      <c r="C20">
        <f t="shared" si="20"/>
        <v>1400</v>
      </c>
      <c r="D20">
        <f t="shared" si="17"/>
        <v>6.000001</v>
      </c>
      <c r="E20">
        <f t="shared" si="0"/>
        <v>36.000006</v>
      </c>
      <c r="F20">
        <f t="shared" si="18"/>
        <v>15.000001</v>
      </c>
      <c r="G20">
        <f t="shared" si="1"/>
        <v>15</v>
      </c>
      <c r="H20">
        <f t="shared" si="2"/>
        <v>8.7</v>
      </c>
      <c r="I20" s="3">
        <f t="shared" si="3"/>
        <v>4.13793172413793</v>
      </c>
      <c r="J20">
        <f t="shared" si="19"/>
        <v>0.3</v>
      </c>
      <c r="K20">
        <v>1</v>
      </c>
      <c r="L20">
        <f t="shared" si="4"/>
        <v>18.000003</v>
      </c>
      <c r="M20">
        <v>0</v>
      </c>
      <c r="N20">
        <f t="shared" si="5"/>
        <v>1.65</v>
      </c>
      <c r="O20">
        <f t="shared" si="6"/>
        <v>18.000003</v>
      </c>
      <c r="P20">
        <f t="shared" si="7"/>
        <v>60.00001</v>
      </c>
      <c r="Q20">
        <v>0.14</v>
      </c>
      <c r="R20">
        <f t="shared" si="13"/>
        <v>6.694</v>
      </c>
      <c r="S20">
        <f t="shared" si="8"/>
        <v>6</v>
      </c>
      <c r="T20">
        <f t="shared" si="9"/>
        <v>6</v>
      </c>
      <c r="U20">
        <f t="shared" si="14"/>
        <v>0.16</v>
      </c>
      <c r="V20">
        <f t="shared" si="15"/>
        <v>2</v>
      </c>
      <c r="W20">
        <f t="shared" si="10"/>
        <v>6.96</v>
      </c>
      <c r="X20">
        <f t="shared" si="11"/>
        <v>49.7142857142857</v>
      </c>
      <c r="Y20" s="3">
        <f t="shared" si="12"/>
        <v>1.20689675287356</v>
      </c>
      <c r="Z20">
        <v>3.8</v>
      </c>
      <c r="AA20">
        <f t="shared" si="16"/>
        <v>11.4</v>
      </c>
      <c r="AB20" t="s">
        <v>48</v>
      </c>
      <c r="AC20" t="s">
        <v>49</v>
      </c>
    </row>
    <row r="21" spans="1:29">
      <c r="A21">
        <v>17</v>
      </c>
      <c r="B21">
        <v>8300</v>
      </c>
      <c r="C21">
        <f t="shared" si="20"/>
        <v>1600</v>
      </c>
      <c r="D21">
        <f t="shared" si="17"/>
        <v>6.3333344</v>
      </c>
      <c r="E21">
        <f t="shared" si="0"/>
        <v>38.0000064</v>
      </c>
      <c r="F21">
        <f t="shared" si="18"/>
        <v>15.3333344</v>
      </c>
      <c r="G21">
        <f t="shared" si="1"/>
        <v>15</v>
      </c>
      <c r="H21">
        <f t="shared" si="2"/>
        <v>8.775</v>
      </c>
      <c r="I21" s="3">
        <f t="shared" si="3"/>
        <v>4.33048505982906</v>
      </c>
      <c r="J21">
        <f t="shared" si="19"/>
        <v>0.3</v>
      </c>
      <c r="K21">
        <v>1</v>
      </c>
      <c r="L21">
        <f t="shared" si="4"/>
        <v>19.0000032</v>
      </c>
      <c r="M21">
        <v>0</v>
      </c>
      <c r="N21">
        <f t="shared" si="5"/>
        <v>1.675</v>
      </c>
      <c r="O21">
        <f t="shared" si="6"/>
        <v>19.0000032</v>
      </c>
      <c r="P21">
        <f t="shared" si="7"/>
        <v>63.333344</v>
      </c>
      <c r="Q21">
        <v>0.14</v>
      </c>
      <c r="R21">
        <f t="shared" si="13"/>
        <v>7.028</v>
      </c>
      <c r="S21">
        <f t="shared" si="8"/>
        <v>7</v>
      </c>
      <c r="T21">
        <f t="shared" si="9"/>
        <v>7</v>
      </c>
      <c r="U21">
        <f t="shared" si="14"/>
        <v>0.17</v>
      </c>
      <c r="V21">
        <f t="shared" si="15"/>
        <v>2</v>
      </c>
      <c r="W21">
        <f t="shared" si="10"/>
        <v>8.19</v>
      </c>
      <c r="X21">
        <f t="shared" si="11"/>
        <v>58.5</v>
      </c>
      <c r="Y21" s="3">
        <f t="shared" si="12"/>
        <v>1.08262126495727</v>
      </c>
      <c r="Z21">
        <v>3.8</v>
      </c>
      <c r="AA21">
        <f t="shared" si="16"/>
        <v>11.8</v>
      </c>
      <c r="AB21" t="s">
        <v>50</v>
      </c>
      <c r="AC21" t="s">
        <v>51</v>
      </c>
    </row>
    <row r="22" spans="1:29">
      <c r="A22">
        <v>18</v>
      </c>
      <c r="B22">
        <v>9900</v>
      </c>
      <c r="C22">
        <f t="shared" si="20"/>
        <v>1800</v>
      </c>
      <c r="D22">
        <f t="shared" si="17"/>
        <v>6.6666678</v>
      </c>
      <c r="E22">
        <f t="shared" si="0"/>
        <v>40.0000068</v>
      </c>
      <c r="F22">
        <f t="shared" si="18"/>
        <v>15.6666678</v>
      </c>
      <c r="G22">
        <f t="shared" si="1"/>
        <v>15</v>
      </c>
      <c r="H22">
        <f t="shared" si="2"/>
        <v>8.85</v>
      </c>
      <c r="I22" s="3">
        <f t="shared" si="3"/>
        <v>4.51977477966102</v>
      </c>
      <c r="J22">
        <f t="shared" si="19"/>
        <v>0.3</v>
      </c>
      <c r="K22">
        <v>1</v>
      </c>
      <c r="L22">
        <f t="shared" si="4"/>
        <v>20.0000034</v>
      </c>
      <c r="M22">
        <v>0</v>
      </c>
      <c r="N22">
        <f t="shared" si="5"/>
        <v>1.7</v>
      </c>
      <c r="O22">
        <f t="shared" si="6"/>
        <v>20.0000034</v>
      </c>
      <c r="P22">
        <f t="shared" si="7"/>
        <v>66.666678</v>
      </c>
      <c r="Q22">
        <v>0.14</v>
      </c>
      <c r="R22">
        <f t="shared" si="13"/>
        <v>7.362</v>
      </c>
      <c r="S22">
        <f t="shared" si="8"/>
        <v>7</v>
      </c>
      <c r="T22">
        <f t="shared" si="9"/>
        <v>7</v>
      </c>
      <c r="U22">
        <f t="shared" si="14"/>
        <v>0.18</v>
      </c>
      <c r="V22">
        <f t="shared" si="15"/>
        <v>2</v>
      </c>
      <c r="W22">
        <f t="shared" si="10"/>
        <v>8.26</v>
      </c>
      <c r="X22">
        <f t="shared" si="11"/>
        <v>59</v>
      </c>
      <c r="Y22" s="3">
        <f t="shared" si="12"/>
        <v>1.12994369491525</v>
      </c>
      <c r="Z22">
        <v>3.8</v>
      </c>
      <c r="AA22">
        <f t="shared" si="16"/>
        <v>12.2</v>
      </c>
      <c r="AB22" t="s">
        <v>50</v>
      </c>
      <c r="AC22" t="s">
        <v>51</v>
      </c>
    </row>
    <row r="23" spans="1:29">
      <c r="A23">
        <v>19</v>
      </c>
      <c r="B23">
        <v>11700</v>
      </c>
      <c r="C23">
        <f t="shared" si="20"/>
        <v>2000</v>
      </c>
      <c r="D23">
        <f t="shared" si="17"/>
        <v>7.0000012</v>
      </c>
      <c r="E23">
        <f t="shared" si="0"/>
        <v>42.0000072</v>
      </c>
      <c r="F23">
        <f t="shared" si="18"/>
        <v>16.0000012</v>
      </c>
      <c r="G23">
        <f t="shared" si="1"/>
        <v>16</v>
      </c>
      <c r="H23">
        <f t="shared" si="2"/>
        <v>9.52</v>
      </c>
      <c r="I23" s="3">
        <f t="shared" si="3"/>
        <v>4.41176546218487</v>
      </c>
      <c r="J23">
        <f t="shared" si="19"/>
        <v>0.3</v>
      </c>
      <c r="K23">
        <v>1</v>
      </c>
      <c r="L23">
        <f t="shared" si="4"/>
        <v>21.0000036</v>
      </c>
      <c r="M23">
        <v>0</v>
      </c>
      <c r="N23">
        <f t="shared" si="5"/>
        <v>1.725</v>
      </c>
      <c r="O23">
        <f t="shared" si="6"/>
        <v>21.0000036</v>
      </c>
      <c r="P23">
        <f t="shared" si="7"/>
        <v>70.000012</v>
      </c>
      <c r="Q23">
        <v>0.14</v>
      </c>
      <c r="R23">
        <f t="shared" si="13"/>
        <v>7.696</v>
      </c>
      <c r="S23">
        <f t="shared" si="8"/>
        <v>7</v>
      </c>
      <c r="T23">
        <f t="shared" si="9"/>
        <v>7</v>
      </c>
      <c r="U23">
        <f t="shared" si="14"/>
        <v>0.19</v>
      </c>
      <c r="V23">
        <f t="shared" si="15"/>
        <v>2</v>
      </c>
      <c r="W23">
        <f t="shared" si="10"/>
        <v>8.33</v>
      </c>
      <c r="X23">
        <f t="shared" si="11"/>
        <v>59.5</v>
      </c>
      <c r="Y23" s="3">
        <f t="shared" si="12"/>
        <v>1.17647078991597</v>
      </c>
      <c r="Z23">
        <v>3.8</v>
      </c>
      <c r="AA23">
        <f t="shared" si="16"/>
        <v>12.6</v>
      </c>
      <c r="AB23" t="s">
        <v>50</v>
      </c>
      <c r="AC23" t="s">
        <v>51</v>
      </c>
    </row>
    <row r="24" spans="1:29">
      <c r="A24">
        <v>20</v>
      </c>
      <c r="B24">
        <v>13700</v>
      </c>
      <c r="C24">
        <f t="shared" si="20"/>
        <v>2200</v>
      </c>
      <c r="D24">
        <f t="shared" si="17"/>
        <v>7.3333346</v>
      </c>
      <c r="E24">
        <f t="shared" si="0"/>
        <v>44.0000076</v>
      </c>
      <c r="F24">
        <f t="shared" si="18"/>
        <v>16.3333346</v>
      </c>
      <c r="G24">
        <f t="shared" si="1"/>
        <v>16</v>
      </c>
      <c r="H24">
        <f t="shared" si="2"/>
        <v>9.6</v>
      </c>
      <c r="I24" s="3">
        <f t="shared" si="3"/>
        <v>4.583334125</v>
      </c>
      <c r="J24">
        <f t="shared" si="19"/>
        <v>0.3</v>
      </c>
      <c r="K24">
        <v>1</v>
      </c>
      <c r="L24">
        <f t="shared" si="4"/>
        <v>22.0000038</v>
      </c>
      <c r="M24">
        <v>0</v>
      </c>
      <c r="N24">
        <f t="shared" si="5"/>
        <v>1.75</v>
      </c>
      <c r="O24">
        <f t="shared" si="6"/>
        <v>22.0000038</v>
      </c>
      <c r="P24">
        <f t="shared" si="7"/>
        <v>73.333346</v>
      </c>
      <c r="Q24">
        <v>0.14</v>
      </c>
      <c r="R24">
        <f t="shared" si="13"/>
        <v>8.03</v>
      </c>
      <c r="S24">
        <f t="shared" si="8"/>
        <v>8</v>
      </c>
      <c r="T24">
        <f t="shared" si="9"/>
        <v>8</v>
      </c>
      <c r="U24">
        <f t="shared" si="14"/>
        <v>0.2</v>
      </c>
      <c r="V24">
        <f t="shared" si="15"/>
        <v>2</v>
      </c>
      <c r="W24">
        <f t="shared" si="10"/>
        <v>9.6</v>
      </c>
      <c r="X24">
        <f t="shared" si="11"/>
        <v>68.5714285714286</v>
      </c>
      <c r="Y24" s="3">
        <f t="shared" si="12"/>
        <v>1.06944462916667</v>
      </c>
      <c r="Z24">
        <v>3.8</v>
      </c>
      <c r="AA24">
        <f t="shared" si="16"/>
        <v>13</v>
      </c>
      <c r="AB24" t="s">
        <v>52</v>
      </c>
      <c r="AC24" t="s">
        <v>53</v>
      </c>
    </row>
    <row r="25" spans="1:29">
      <c r="A25">
        <v>21</v>
      </c>
      <c r="B25">
        <v>15900</v>
      </c>
      <c r="C25">
        <f t="shared" si="20"/>
        <v>2400</v>
      </c>
      <c r="D25">
        <f t="shared" si="17"/>
        <v>7.666668</v>
      </c>
      <c r="E25">
        <f t="shared" si="0"/>
        <v>46.000008</v>
      </c>
      <c r="F25">
        <f t="shared" si="18"/>
        <v>16.666668</v>
      </c>
      <c r="G25">
        <f t="shared" si="1"/>
        <v>16</v>
      </c>
      <c r="H25">
        <f t="shared" si="2"/>
        <v>9.68</v>
      </c>
      <c r="I25" s="3">
        <f t="shared" si="3"/>
        <v>4.75206694214876</v>
      </c>
      <c r="J25">
        <f t="shared" si="19"/>
        <v>0.3</v>
      </c>
      <c r="K25">
        <v>1</v>
      </c>
      <c r="L25">
        <f t="shared" si="4"/>
        <v>23.000004</v>
      </c>
      <c r="M25">
        <v>0</v>
      </c>
      <c r="N25">
        <f t="shared" si="5"/>
        <v>1.775</v>
      </c>
      <c r="O25">
        <f t="shared" si="6"/>
        <v>23.000004</v>
      </c>
      <c r="P25">
        <f t="shared" si="7"/>
        <v>76.66668</v>
      </c>
      <c r="Q25">
        <v>0.14</v>
      </c>
      <c r="R25">
        <f t="shared" si="13"/>
        <v>8.364</v>
      </c>
      <c r="S25">
        <f t="shared" si="8"/>
        <v>8</v>
      </c>
      <c r="T25">
        <f t="shared" si="9"/>
        <v>8</v>
      </c>
      <c r="U25">
        <f t="shared" si="14"/>
        <v>0.21</v>
      </c>
      <c r="V25">
        <f t="shared" si="15"/>
        <v>2</v>
      </c>
      <c r="W25">
        <f t="shared" si="10"/>
        <v>9.68</v>
      </c>
      <c r="X25">
        <f t="shared" si="11"/>
        <v>69.1428571428571</v>
      </c>
      <c r="Y25" s="3">
        <f t="shared" si="12"/>
        <v>1.10881561983471</v>
      </c>
      <c r="Z25">
        <v>3.8</v>
      </c>
      <c r="AA25">
        <f t="shared" si="16"/>
        <v>13.4</v>
      </c>
      <c r="AB25" t="s">
        <v>52</v>
      </c>
      <c r="AC25" t="s">
        <v>53</v>
      </c>
    </row>
    <row r="26" spans="1:29">
      <c r="A26">
        <v>22</v>
      </c>
      <c r="B26">
        <v>18300</v>
      </c>
      <c r="C26">
        <f t="shared" si="20"/>
        <v>2600</v>
      </c>
      <c r="D26">
        <f t="shared" si="17"/>
        <v>8.0000014</v>
      </c>
      <c r="E26">
        <f t="shared" si="0"/>
        <v>48.0000084</v>
      </c>
      <c r="F26">
        <f t="shared" si="18"/>
        <v>17.0000014</v>
      </c>
      <c r="G26">
        <f t="shared" si="1"/>
        <v>17</v>
      </c>
      <c r="H26">
        <f t="shared" si="2"/>
        <v>10.37</v>
      </c>
      <c r="I26" s="3">
        <f t="shared" si="3"/>
        <v>4.62873755062681</v>
      </c>
      <c r="J26">
        <f t="shared" si="19"/>
        <v>0.3</v>
      </c>
      <c r="K26">
        <v>1</v>
      </c>
      <c r="L26">
        <f t="shared" si="4"/>
        <v>24.0000042</v>
      </c>
      <c r="M26">
        <v>0</v>
      </c>
      <c r="N26">
        <f t="shared" si="5"/>
        <v>1.8</v>
      </c>
      <c r="O26">
        <f t="shared" si="6"/>
        <v>24.0000042</v>
      </c>
      <c r="P26">
        <f t="shared" si="7"/>
        <v>80.000014</v>
      </c>
      <c r="Q26">
        <v>0.14</v>
      </c>
      <c r="R26">
        <f t="shared" si="13"/>
        <v>8.698</v>
      </c>
      <c r="S26">
        <f t="shared" si="8"/>
        <v>8</v>
      </c>
      <c r="T26">
        <f t="shared" si="9"/>
        <v>8</v>
      </c>
      <c r="U26">
        <f t="shared" si="14"/>
        <v>0.22</v>
      </c>
      <c r="V26">
        <f t="shared" si="15"/>
        <v>2</v>
      </c>
      <c r="W26">
        <f t="shared" si="10"/>
        <v>9.76</v>
      </c>
      <c r="X26">
        <f t="shared" si="11"/>
        <v>69.7142857142857</v>
      </c>
      <c r="Y26" s="3">
        <f t="shared" si="12"/>
        <v>1.14754118442623</v>
      </c>
      <c r="Z26">
        <v>3.8</v>
      </c>
      <c r="AA26">
        <f t="shared" si="16"/>
        <v>13.8</v>
      </c>
      <c r="AB26" t="s">
        <v>52</v>
      </c>
      <c r="AC26" t="s">
        <v>53</v>
      </c>
    </row>
    <row r="27" spans="1:29">
      <c r="A27">
        <v>23</v>
      </c>
      <c r="B27">
        <v>20900</v>
      </c>
      <c r="C27">
        <f t="shared" si="20"/>
        <v>2800</v>
      </c>
      <c r="D27">
        <f t="shared" si="17"/>
        <v>8.3333348</v>
      </c>
      <c r="E27">
        <f t="shared" si="0"/>
        <v>50.0000088</v>
      </c>
      <c r="F27">
        <f t="shared" si="18"/>
        <v>17.3333348</v>
      </c>
      <c r="G27">
        <f t="shared" si="1"/>
        <v>17</v>
      </c>
      <c r="H27">
        <f t="shared" si="2"/>
        <v>10.455</v>
      </c>
      <c r="I27" s="3">
        <f t="shared" si="3"/>
        <v>4.78240160688666</v>
      </c>
      <c r="J27">
        <f t="shared" si="19"/>
        <v>0.3</v>
      </c>
      <c r="K27">
        <v>1</v>
      </c>
      <c r="L27">
        <f t="shared" si="4"/>
        <v>25.0000044</v>
      </c>
      <c r="M27">
        <v>0</v>
      </c>
      <c r="N27">
        <f t="shared" si="5"/>
        <v>1.825</v>
      </c>
      <c r="O27">
        <f t="shared" si="6"/>
        <v>25.0000044</v>
      </c>
      <c r="P27">
        <f t="shared" si="7"/>
        <v>83.333348</v>
      </c>
      <c r="Q27">
        <v>0.14</v>
      </c>
      <c r="R27">
        <f t="shared" si="13"/>
        <v>9.03199999999999</v>
      </c>
      <c r="S27">
        <f t="shared" si="8"/>
        <v>9</v>
      </c>
      <c r="T27">
        <f t="shared" si="9"/>
        <v>9</v>
      </c>
      <c r="U27">
        <f t="shared" si="14"/>
        <v>0.23</v>
      </c>
      <c r="V27">
        <f t="shared" si="15"/>
        <v>2</v>
      </c>
      <c r="W27">
        <f t="shared" si="10"/>
        <v>11.07</v>
      </c>
      <c r="X27">
        <f t="shared" si="11"/>
        <v>79.0714285714286</v>
      </c>
      <c r="Y27" s="3">
        <f t="shared" si="12"/>
        <v>1.05389961336947</v>
      </c>
      <c r="Z27">
        <v>3.8</v>
      </c>
      <c r="AA27">
        <f t="shared" si="16"/>
        <v>14.2</v>
      </c>
      <c r="AB27" t="s">
        <v>54</v>
      </c>
      <c r="AC27" t="s">
        <v>55</v>
      </c>
    </row>
    <row r="28" spans="1:29">
      <c r="A28">
        <v>24</v>
      </c>
      <c r="B28">
        <v>23700</v>
      </c>
      <c r="C28">
        <f t="shared" si="20"/>
        <v>6300</v>
      </c>
      <c r="D28">
        <f t="shared" si="17"/>
        <v>8.6666682</v>
      </c>
      <c r="E28">
        <f t="shared" si="0"/>
        <v>52.0000092</v>
      </c>
      <c r="F28">
        <f t="shared" si="18"/>
        <v>17.6666682</v>
      </c>
      <c r="G28">
        <f t="shared" si="1"/>
        <v>17</v>
      </c>
      <c r="H28">
        <f t="shared" si="2"/>
        <v>10.54</v>
      </c>
      <c r="I28" s="3">
        <f t="shared" si="3"/>
        <v>4.93358721062619</v>
      </c>
      <c r="J28">
        <f t="shared" si="19"/>
        <v>0.3</v>
      </c>
      <c r="K28">
        <v>1</v>
      </c>
      <c r="L28">
        <f t="shared" si="4"/>
        <v>26.0000046</v>
      </c>
      <c r="M28">
        <v>0</v>
      </c>
      <c r="N28">
        <f t="shared" si="5"/>
        <v>1.85</v>
      </c>
      <c r="O28">
        <f t="shared" si="6"/>
        <v>26.0000046</v>
      </c>
      <c r="P28">
        <f t="shared" si="7"/>
        <v>86.666682</v>
      </c>
      <c r="Q28">
        <v>0.14</v>
      </c>
      <c r="R28">
        <f t="shared" si="13"/>
        <v>9.36599999999999</v>
      </c>
      <c r="S28">
        <f t="shared" si="8"/>
        <v>9</v>
      </c>
      <c r="T28">
        <f t="shared" si="9"/>
        <v>9</v>
      </c>
      <c r="U28">
        <f t="shared" si="14"/>
        <v>0.24</v>
      </c>
      <c r="V28">
        <f t="shared" si="15"/>
        <v>2</v>
      </c>
      <c r="W28">
        <f t="shared" si="10"/>
        <v>11.16</v>
      </c>
      <c r="X28">
        <f t="shared" si="11"/>
        <v>79.7142857142857</v>
      </c>
      <c r="Y28" s="3">
        <f t="shared" si="12"/>
        <v>1.08721644086022</v>
      </c>
      <c r="Z28">
        <v>3.8</v>
      </c>
      <c r="AA28">
        <f t="shared" si="16"/>
        <v>14.6</v>
      </c>
      <c r="AB28" t="s">
        <v>54</v>
      </c>
      <c r="AC28" t="s">
        <v>55</v>
      </c>
    </row>
    <row r="29" spans="1:29">
      <c r="A29">
        <v>25</v>
      </c>
      <c r="B29">
        <v>30000</v>
      </c>
      <c r="C29">
        <f t="shared" si="20"/>
        <v>3600</v>
      </c>
      <c r="D29">
        <f t="shared" si="17"/>
        <v>9.0000016</v>
      </c>
      <c r="E29">
        <f t="shared" si="0"/>
        <v>54.0000096</v>
      </c>
      <c r="F29">
        <f t="shared" si="18"/>
        <v>18.0000016</v>
      </c>
      <c r="G29">
        <f t="shared" si="1"/>
        <v>18</v>
      </c>
      <c r="H29">
        <f t="shared" si="2"/>
        <v>11.25</v>
      </c>
      <c r="I29" s="3">
        <f t="shared" si="3"/>
        <v>4.80000085333333</v>
      </c>
      <c r="J29">
        <f t="shared" si="19"/>
        <v>0.3</v>
      </c>
      <c r="K29">
        <v>1</v>
      </c>
      <c r="L29">
        <f t="shared" si="4"/>
        <v>27.0000048</v>
      </c>
      <c r="M29">
        <v>0</v>
      </c>
      <c r="N29">
        <f t="shared" si="5"/>
        <v>1.875</v>
      </c>
      <c r="O29">
        <f t="shared" si="6"/>
        <v>27.0000048</v>
      </c>
      <c r="P29">
        <f t="shared" si="7"/>
        <v>90.000016</v>
      </c>
      <c r="Q29">
        <v>0.14</v>
      </c>
      <c r="R29">
        <f t="shared" si="13"/>
        <v>9.69999999999999</v>
      </c>
      <c r="S29">
        <f t="shared" si="8"/>
        <v>9</v>
      </c>
      <c r="T29">
        <f t="shared" si="9"/>
        <v>9</v>
      </c>
      <c r="U29">
        <f t="shared" si="14"/>
        <v>0.25</v>
      </c>
      <c r="V29">
        <f t="shared" si="15"/>
        <v>2</v>
      </c>
      <c r="W29">
        <f t="shared" si="10"/>
        <v>11.25</v>
      </c>
      <c r="X29">
        <f t="shared" si="11"/>
        <v>80.3571428571428</v>
      </c>
      <c r="Y29" s="3">
        <f t="shared" si="12"/>
        <v>1.12000019911111</v>
      </c>
      <c r="Z29">
        <v>3.8</v>
      </c>
      <c r="AA29">
        <f t="shared" si="16"/>
        <v>15</v>
      </c>
      <c r="AB29" t="s">
        <v>54</v>
      </c>
      <c r="AC29" t="s">
        <v>55</v>
      </c>
    </row>
    <row r="30" spans="1:29">
      <c r="A30">
        <v>26</v>
      </c>
      <c r="B30">
        <v>33600</v>
      </c>
      <c r="C30">
        <f t="shared" si="20"/>
        <v>3900</v>
      </c>
      <c r="D30">
        <f t="shared" si="17"/>
        <v>9.333335</v>
      </c>
      <c r="E30">
        <f t="shared" si="0"/>
        <v>56.00001</v>
      </c>
      <c r="F30">
        <f t="shared" si="18"/>
        <v>18.333335</v>
      </c>
      <c r="G30">
        <f t="shared" si="1"/>
        <v>18</v>
      </c>
      <c r="H30">
        <f t="shared" si="2"/>
        <v>11.34</v>
      </c>
      <c r="I30" s="3">
        <f t="shared" si="3"/>
        <v>4.93827248677249</v>
      </c>
      <c r="J30">
        <f t="shared" si="19"/>
        <v>0.3</v>
      </c>
      <c r="K30">
        <v>1</v>
      </c>
      <c r="L30">
        <f t="shared" si="4"/>
        <v>28.000005</v>
      </c>
      <c r="M30">
        <v>0</v>
      </c>
      <c r="N30">
        <f t="shared" si="5"/>
        <v>1.9</v>
      </c>
      <c r="O30">
        <f t="shared" si="6"/>
        <v>28.000005</v>
      </c>
      <c r="P30">
        <f t="shared" si="7"/>
        <v>93.33335</v>
      </c>
      <c r="Q30">
        <v>0.14</v>
      </c>
      <c r="R30">
        <f t="shared" si="13"/>
        <v>10.034</v>
      </c>
      <c r="S30">
        <f t="shared" si="8"/>
        <v>10</v>
      </c>
      <c r="T30">
        <f t="shared" si="9"/>
        <v>10</v>
      </c>
      <c r="U30">
        <f t="shared" si="14"/>
        <v>0.26</v>
      </c>
      <c r="V30">
        <f t="shared" si="15"/>
        <v>2</v>
      </c>
      <c r="W30">
        <f t="shared" si="10"/>
        <v>12.6</v>
      </c>
      <c r="X30">
        <f t="shared" si="11"/>
        <v>90</v>
      </c>
      <c r="Y30" s="3">
        <f t="shared" si="12"/>
        <v>1.03703722222222</v>
      </c>
      <c r="Z30">
        <v>3.8</v>
      </c>
      <c r="AA30">
        <f t="shared" si="16"/>
        <v>15.4</v>
      </c>
      <c r="AB30" t="s">
        <v>56</v>
      </c>
      <c r="AC30" t="s">
        <v>57</v>
      </c>
    </row>
    <row r="31" spans="1:29">
      <c r="A31">
        <v>27</v>
      </c>
      <c r="B31">
        <v>37500</v>
      </c>
      <c r="C31">
        <f t="shared" si="20"/>
        <v>4400</v>
      </c>
      <c r="D31">
        <f t="shared" si="17"/>
        <v>9.6666684</v>
      </c>
      <c r="E31">
        <f t="shared" si="0"/>
        <v>58.0000104</v>
      </c>
      <c r="F31">
        <f t="shared" si="18"/>
        <v>18.6666684</v>
      </c>
      <c r="G31">
        <f t="shared" si="1"/>
        <v>18</v>
      </c>
      <c r="H31">
        <f t="shared" si="2"/>
        <v>11.43</v>
      </c>
      <c r="I31" s="3">
        <f t="shared" si="3"/>
        <v>5.07436661417323</v>
      </c>
      <c r="J31">
        <f t="shared" si="19"/>
        <v>0.3</v>
      </c>
      <c r="K31">
        <v>1</v>
      </c>
      <c r="L31">
        <f t="shared" si="4"/>
        <v>29.0000052</v>
      </c>
      <c r="M31">
        <v>0</v>
      </c>
      <c r="N31">
        <f t="shared" si="5"/>
        <v>1.925</v>
      </c>
      <c r="O31">
        <f t="shared" si="6"/>
        <v>29.0000052</v>
      </c>
      <c r="P31">
        <f t="shared" si="7"/>
        <v>96.666684</v>
      </c>
      <c r="Q31">
        <v>0.14</v>
      </c>
      <c r="R31">
        <f t="shared" si="13"/>
        <v>10.368</v>
      </c>
      <c r="S31">
        <f t="shared" si="8"/>
        <v>10</v>
      </c>
      <c r="T31">
        <f t="shared" si="9"/>
        <v>10</v>
      </c>
      <c r="U31">
        <f t="shared" si="14"/>
        <v>0.27</v>
      </c>
      <c r="V31">
        <f t="shared" si="15"/>
        <v>2</v>
      </c>
      <c r="W31">
        <f t="shared" si="10"/>
        <v>12.7</v>
      </c>
      <c r="X31">
        <f t="shared" si="11"/>
        <v>90.7142857142857</v>
      </c>
      <c r="Y31" s="3">
        <f t="shared" si="12"/>
        <v>1.06561698897638</v>
      </c>
      <c r="Z31">
        <v>3.8</v>
      </c>
      <c r="AA31">
        <f t="shared" si="16"/>
        <v>15.8</v>
      </c>
      <c r="AB31" t="s">
        <v>56</v>
      </c>
      <c r="AC31" t="s">
        <v>57</v>
      </c>
    </row>
    <row r="32" spans="1:29">
      <c r="A32">
        <v>28</v>
      </c>
      <c r="B32">
        <v>41900</v>
      </c>
      <c r="C32">
        <f t="shared" si="20"/>
        <v>4800</v>
      </c>
      <c r="D32">
        <f t="shared" si="17"/>
        <v>10.0000018</v>
      </c>
      <c r="E32">
        <f t="shared" si="0"/>
        <v>60.0000108</v>
      </c>
      <c r="F32">
        <f t="shared" si="18"/>
        <v>19.0000018</v>
      </c>
      <c r="G32">
        <f t="shared" si="1"/>
        <v>19</v>
      </c>
      <c r="H32">
        <f t="shared" si="2"/>
        <v>12.16</v>
      </c>
      <c r="I32" s="3">
        <f t="shared" si="3"/>
        <v>4.93421141447368</v>
      </c>
      <c r="J32">
        <f t="shared" si="19"/>
        <v>0.3</v>
      </c>
      <c r="K32">
        <v>1</v>
      </c>
      <c r="L32">
        <f t="shared" si="4"/>
        <v>30.0000054</v>
      </c>
      <c r="M32">
        <v>0</v>
      </c>
      <c r="N32">
        <f t="shared" si="5"/>
        <v>1.95</v>
      </c>
      <c r="O32">
        <f t="shared" si="6"/>
        <v>30.0000054</v>
      </c>
      <c r="P32">
        <f t="shared" si="7"/>
        <v>100.000018</v>
      </c>
      <c r="Q32">
        <v>0.14</v>
      </c>
      <c r="R32">
        <f t="shared" si="13"/>
        <v>10.702</v>
      </c>
      <c r="S32">
        <f t="shared" si="8"/>
        <v>10</v>
      </c>
      <c r="T32">
        <f t="shared" si="9"/>
        <v>10</v>
      </c>
      <c r="U32">
        <f t="shared" si="14"/>
        <v>0.28</v>
      </c>
      <c r="V32">
        <f t="shared" si="15"/>
        <v>2</v>
      </c>
      <c r="W32">
        <f t="shared" si="10"/>
        <v>12.8</v>
      </c>
      <c r="X32">
        <f t="shared" si="11"/>
        <v>91.4285714285714</v>
      </c>
      <c r="Y32" s="3">
        <f t="shared" si="12"/>
        <v>1.093750196875</v>
      </c>
      <c r="Z32">
        <v>3.8</v>
      </c>
      <c r="AA32">
        <f t="shared" si="16"/>
        <v>16.2</v>
      </c>
      <c r="AB32" t="s">
        <v>56</v>
      </c>
      <c r="AC32" t="s">
        <v>57</v>
      </c>
    </row>
    <row r="33" spans="1:29">
      <c r="A33">
        <v>29</v>
      </c>
      <c r="B33">
        <v>46700</v>
      </c>
      <c r="C33">
        <f t="shared" si="20"/>
        <v>5100</v>
      </c>
      <c r="D33">
        <f t="shared" si="17"/>
        <v>10.3333352</v>
      </c>
      <c r="E33">
        <f t="shared" si="0"/>
        <v>62.0000112</v>
      </c>
      <c r="F33">
        <f t="shared" si="18"/>
        <v>19.3333352</v>
      </c>
      <c r="G33">
        <f t="shared" si="1"/>
        <v>19</v>
      </c>
      <c r="H33">
        <f t="shared" si="2"/>
        <v>12.255</v>
      </c>
      <c r="I33" s="3">
        <f t="shared" si="3"/>
        <v>5.05916044063648</v>
      </c>
      <c r="J33">
        <f t="shared" si="19"/>
        <v>0.3</v>
      </c>
      <c r="K33">
        <v>1</v>
      </c>
      <c r="L33">
        <f t="shared" si="4"/>
        <v>31.0000056</v>
      </c>
      <c r="M33">
        <v>0</v>
      </c>
      <c r="N33">
        <f t="shared" si="5"/>
        <v>1.975</v>
      </c>
      <c r="O33">
        <f t="shared" si="6"/>
        <v>31.0000056</v>
      </c>
      <c r="P33">
        <f t="shared" si="7"/>
        <v>103.333352</v>
      </c>
      <c r="Q33">
        <v>0.14</v>
      </c>
      <c r="R33">
        <f t="shared" si="13"/>
        <v>11.036</v>
      </c>
      <c r="S33">
        <f t="shared" si="8"/>
        <v>11</v>
      </c>
      <c r="T33">
        <f t="shared" si="9"/>
        <v>11</v>
      </c>
      <c r="U33">
        <f t="shared" si="14"/>
        <v>0.29</v>
      </c>
      <c r="V33">
        <f t="shared" si="15"/>
        <v>2</v>
      </c>
      <c r="W33">
        <f t="shared" si="10"/>
        <v>14.19</v>
      </c>
      <c r="X33">
        <f t="shared" si="11"/>
        <v>101.357142857143</v>
      </c>
      <c r="Y33" s="3">
        <f t="shared" si="12"/>
        <v>1.01949748273432</v>
      </c>
      <c r="Z33">
        <v>3.8</v>
      </c>
      <c r="AA33">
        <f t="shared" si="16"/>
        <v>16.6</v>
      </c>
      <c r="AB33" t="s">
        <v>58</v>
      </c>
      <c r="AC33" t="s">
        <v>59</v>
      </c>
    </row>
    <row r="34" spans="1:29">
      <c r="A34">
        <v>30</v>
      </c>
      <c r="B34">
        <v>51800</v>
      </c>
      <c r="C34">
        <v>-1</v>
      </c>
      <c r="D34">
        <f t="shared" si="17"/>
        <v>10.6666686</v>
      </c>
      <c r="E34">
        <f t="shared" si="0"/>
        <v>64.0000116</v>
      </c>
      <c r="F34">
        <f t="shared" si="18"/>
        <v>19.6666686</v>
      </c>
      <c r="G34">
        <f t="shared" si="1"/>
        <v>19</v>
      </c>
      <c r="H34">
        <f t="shared" si="2"/>
        <v>12.35</v>
      </c>
      <c r="I34" s="3">
        <f t="shared" si="3"/>
        <v>5.18218717408907</v>
      </c>
      <c r="J34">
        <f t="shared" si="19"/>
        <v>0.3</v>
      </c>
      <c r="K34">
        <v>1</v>
      </c>
      <c r="L34">
        <f t="shared" si="4"/>
        <v>32.0000058</v>
      </c>
      <c r="M34">
        <v>0</v>
      </c>
      <c r="N34">
        <f t="shared" si="5"/>
        <v>2</v>
      </c>
      <c r="O34">
        <f t="shared" si="6"/>
        <v>32.0000058</v>
      </c>
      <c r="P34">
        <f t="shared" si="7"/>
        <v>106.666686</v>
      </c>
      <c r="Q34">
        <v>0.14</v>
      </c>
      <c r="R34">
        <f t="shared" si="13"/>
        <v>11.37</v>
      </c>
      <c r="S34">
        <f t="shared" si="8"/>
        <v>11</v>
      </c>
      <c r="T34">
        <f t="shared" si="9"/>
        <v>11</v>
      </c>
      <c r="U34">
        <f t="shared" si="14"/>
        <v>0.3</v>
      </c>
      <c r="V34">
        <f t="shared" si="15"/>
        <v>2</v>
      </c>
      <c r="W34">
        <f t="shared" si="10"/>
        <v>14.3</v>
      </c>
      <c r="X34">
        <f t="shared" si="11"/>
        <v>102.142857142857</v>
      </c>
      <c r="Y34" s="3">
        <f t="shared" si="12"/>
        <v>1.04428923356643</v>
      </c>
      <c r="Z34">
        <v>3.8</v>
      </c>
      <c r="AA34">
        <f t="shared" si="16"/>
        <v>17</v>
      </c>
      <c r="AB34" t="s">
        <v>58</v>
      </c>
      <c r="AC34" t="s">
        <v>59</v>
      </c>
    </row>
    <row r="35" hidden="1" spans="1:29">
      <c r="A35">
        <v>31</v>
      </c>
      <c r="B35">
        <v>-1</v>
      </c>
      <c r="C35">
        <v>-1</v>
      </c>
      <c r="D35">
        <f t="shared" si="17"/>
        <v>11.000002</v>
      </c>
      <c r="E35">
        <f t="shared" si="0"/>
        <v>66.3382620615</v>
      </c>
      <c r="F35">
        <f t="shared" si="18"/>
        <v>20.000002</v>
      </c>
      <c r="G35">
        <f t="shared" si="1"/>
        <v>20</v>
      </c>
      <c r="H35">
        <f t="shared" si="2"/>
        <v>13.1</v>
      </c>
      <c r="I35" s="3">
        <f t="shared" si="3"/>
        <v>5.06398947034351</v>
      </c>
      <c r="J35">
        <f t="shared" si="19"/>
        <v>0.3</v>
      </c>
      <c r="K35">
        <v>2</v>
      </c>
      <c r="L35">
        <f t="shared" si="4"/>
        <v>66.000012</v>
      </c>
      <c r="M35">
        <f>M34+0.005</f>
        <v>0.005</v>
      </c>
      <c r="N35">
        <f t="shared" si="5"/>
        <v>2.025</v>
      </c>
      <c r="O35">
        <f t="shared" si="6"/>
        <v>66.3382620615</v>
      </c>
      <c r="P35">
        <f t="shared" si="7"/>
        <v>221.127540205</v>
      </c>
      <c r="Q35">
        <v>1.2</v>
      </c>
      <c r="R35">
        <f t="shared" si="13"/>
        <v>11.704</v>
      </c>
      <c r="S35">
        <f t="shared" si="8"/>
        <v>11</v>
      </c>
      <c r="T35">
        <f t="shared" si="9"/>
        <v>11</v>
      </c>
      <c r="U35">
        <f t="shared" si="14"/>
        <v>0.31</v>
      </c>
      <c r="V35">
        <f t="shared" si="15"/>
        <v>2</v>
      </c>
      <c r="W35">
        <f t="shared" si="10"/>
        <v>14.41</v>
      </c>
      <c r="X35">
        <f t="shared" si="11"/>
        <v>12.0083333333333</v>
      </c>
      <c r="Y35" s="3">
        <f t="shared" si="12"/>
        <v>18.4145071648855</v>
      </c>
      <c r="Z35">
        <v>4.8</v>
      </c>
      <c r="AA35">
        <f t="shared" si="16"/>
        <v>17.4</v>
      </c>
      <c r="AB35" t="s">
        <v>60</v>
      </c>
      <c r="AC35" t="s">
        <v>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。</cp:lastModifiedBy>
  <dcterms:created xsi:type="dcterms:W3CDTF">2023-05-12T11:15:00Z</dcterms:created>
  <dcterms:modified xsi:type="dcterms:W3CDTF">2025-07-22T14:19:53Z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4BAF220F0D7447AF9342AE8C2C55148B_12</vt:lpwstr>
  </property>
</Properties>
</file>