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<sst xmlns="http://schemas.openxmlformats.org/spreadsheetml/2006/main" count="51" uniqueCount="46">
  <si>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id</t>
  </si>
  <si>
    <t>name</t>
  </si>
  <si>
    <t>小数值</t>
  </si>
  <si>
    <t>整数值</t>
  </si>
  <si>
    <t>文字</t>
  </si>
  <si>
    <t>comment</t>
  </si>
  <si>
    <t>comment2</t>
  </si>
  <si>
    <t>名称</t>
  </si>
  <si>
    <t>描述</t>
  </si>
  <si>
    <t>公斤重量</t>
  </si>
  <si>
    <t>float</t>
  </si>
  <si>
    <t>string</t>
  </si>
  <si>
    <t>long</t>
  </si>
  <si>
    <t>点赞加怒气</t>
  </si>
  <si>
    <t>攻击Buff系数</t>
  </si>
  <si>
    <t>30|1.55|0</t>
  </si>
  <si>
    <t>b*等级/(等级+a)+c，计算见sheet2</t>
  </si>
  <si>
    <t>单位能量盾加成</t>
  </si>
  <si>
    <t>默认士兵血量系数</t>
  </si>
  <si>
    <t>援军时间间隔</t>
  </si>
  <si>
    <t>玩法描述</t>
  </si>
  <si>
    <t>扣&lt;color=blue&gt;1加蓝方&lt;/color&gt; 扣&lt;color=orange&gt;2加橙方&lt;/color&gt;\n输入 武将名+坐标出战(例如 大刀B5)\n援军到达前可重新输入\n大盾|大锤|大刀|长枪|重骑|刺客|忍者|长弓|火炮|重剑</t>
  </si>
  <si>
    <t>点赞积分</t>
  </si>
  <si>
    <t>礼物1积分</t>
  </si>
  <si>
    <t>礼物2积分</t>
  </si>
  <si>
    <t>礼物3积分</t>
  </si>
  <si>
    <t>礼物4积分</t>
  </si>
  <si>
    <t>礼物5积分</t>
  </si>
  <si>
    <t>电池</t>
  </si>
  <si>
    <t>礼物6积分</t>
  </si>
  <si>
    <t>恶魔炸弹</t>
  </si>
  <si>
    <t>礼物7积分</t>
  </si>
  <si>
    <t>空投</t>
  </si>
  <si>
    <t>tips</t>
  </si>
  <si>
    <t>&lt;color=orange&gt;手动选路线&lt;/color&gt;:弹幕扣选上路/选中路/选下路可以指定出兵位置,不选择系统自动分配|&lt;color=orange&gt;战前布阵&lt;/color&gt;:建议开战前先引导观众选不同兵器然后点赞将各种兵种都积累一些，这样开战后场面更热闹|&lt;color=orange&gt;随时换武器&lt;/color&gt;:随时都可以输入换+武器切换武将，切换后可以点赞快速分身进入战场|&lt;color=orange&gt;打击判定&lt;/color&gt;:人物的移动，武器的碰撞都是基于真实的物理效果，因此更长的武器具有优势|&lt;color=yellow&gt;盾&lt;/color&gt;:前排坦克，手持超高防御的铁锅（箭可以插锅上），克制远程|&lt;color=yellow&gt;锤&lt;/color&gt;:碎盾，眩晕目标|&lt;color=yellow&gt;刀&lt;/color&gt;:重装近战，攻高血厚|&lt;color=yellow&gt;枪&lt;/color&gt;:超长武器，结成长枪阵后有巨大优势，克制骑兵|&lt;color=yellow&gt;忍&lt;/color&gt;:速度快，不保持阵型，克制远程|&lt;color=yellow&gt;弓箭手&lt;/color&gt;:随缘射击,适合攻击聚集的目标,近距离无法射击|&lt;color=yellow&gt;火枪手&lt;/color&gt;:高精度平射，击退作用强|&lt;color=yellow&gt;火炮&lt;/color&gt;:范围爆炸产生冲击力，破坏敌方阵型|&lt;color=yellow&gt;轻骑兵&lt;/color&gt;:高速冲刺，快速清除后排远程兵。强化后变重骑兵带击晕效果|&lt;color=orange&gt;超级分身&lt;/color&gt;:快速组成密集阵型，组刷合成高级兵，二阶强化后攻速翻倍|&lt;color=orange&gt;盾兵超级分身&lt;/color&gt;:先选盾再用超级分身产生远程护罩，组刷超大护罩保护队友|&lt;color=orange&gt;枪兵超级分身&lt;/color&gt;:先选枪再用超级分身组成近战无敌长枪阵|&lt;color=orange&gt;强化兵种&lt;/color&gt;:一阶强化发绿色光，提升攻击力。二阶强化发金色光，强化血量和攻速</t>
  </si>
  <si>
    <t>礼物2赠送小人</t>
  </si>
  <si>
    <t>礼物3赠送小人</t>
  </si>
  <si>
    <t>礼物4赠送小人</t>
  </si>
  <si>
    <t>礼物5赠送小人</t>
  </si>
  <si>
    <t>礼物6赠送小人</t>
  </si>
  <si>
    <t>水面</t>
  </si>
  <si>
    <t>_ZWrite#float:0|_ZClip#float:1|_Cull#float:0|_ShadingMode#float:1|_WorldSpaceUV#float:0.6|_Speed#float:3|_SlopeStretching#float:0.008999944|_SlopeSpeed#float:5|_SlopeFoam#float:1|_BaseColor#color:0,0.506,1,1|_ShallowColor#color:2,2,2,1|_WaveTint#float:0|_HorizonColor#color:0,0,0,0|_HorizonDistance#float:100|_DepthVertical#float:1|_DepthHorizontal#float:1|_EdgeFade#float:18.7|_ShadowStrength#float:1|_TranslucencyStrength#float:1|_TranslucencyExp#float:4|_TranslucencyCurvatureMask#float:0|_TranslucencyReflectionMask#float:0|_CausticsBrightness#float:2|_CausticsTiling#float:0.1|_CausticsSpeed#float:0|_CausticsDistortion#float:0.047|_UnderwaterSurfaceSmoothness#float:0.8|_UnderwaterRefractionOffset#float:1|_RefractionStrength#float:1|_IntersectionSource#float:0|_IntersectionStyle#float:1|_IntersectionColor#color:1,1,1,0.3647059|_IntersectionLength#float:2.27|_IntersectionClipping#float:0.395|_IntersectionFalloff#float:1.0145|_IntersectionTiling#float:0.1399997|_IntersectionSpeed#float:0.06999999|_IntersectionRippleDist#float:16|_IntersectionRippleStrength#float:0.125|_FoamColor#color:1,1,1,1|_FoamSize#float:0.8|_FoamSpeed#float:0.01|_FoamWaveMask#float:0.1|_FoamWaveMaskExp#float:1|_FoamTiling#float:0.02|_NormalTiling#float:1|_NormalStrength#float:0|_NormalSpeed#float:0.1|_DistanceNormalsTiling#float:0.1|_SparkleIntensity#float:0|_SparkleSize#float:0|_SunReflectionSize#float:0.5|_SunReflectionStrength#float:0.2|_SunReflectionDistortion#float:0.03|_PointSpotLightReflectionStrength#float:1|_PointSpotLightReflectionSize#float:1|_PointSpotLightReflectionDistortion#float:0.5|_ReflectionStrength#float:0.85|_ReflectionDistortion#float:0.03|_ReflectionBlur#float:0.03|_ReflectionFresnel#float:1|_ReflectionLighting#float:0.01|_PlanarReflectionsEnabled#float:0|_WaveSpeed#float:1|_WaveHeight#float:0.5|_WaveNormalStr#float:0.1|_WaveDistance#float:0.8464997|_WaveSteepness#float:10|_WaveCount#float:1|_LightingOn#float:1|_ReceiveShadows#float:1|_FlatShadingOn#float:0|_TranslucencyOn#float:1|_RefractionOn#float:1|_RiverModeOn#float:0|_CausticsOn#float:1|_SpecularReflectionsOn#float:1|_EnvironmentReflectionsOn#float:1|_NormalMapOn#float:1|_DistanceNormalsOn#float:1|_FoamOn#float:1|_DisableDepthTexture#float:0|_WavesOn#float:1</t>
  </si>
  <si>
    <t>等级</t>
  </si>
  <si>
    <t>防御力</t>
  </si>
  <si>
    <t>攻击力加成</t>
  </si>
  <si>
    <t>经验加成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</si>
</sst>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4" applyNumberFormat="0" applyAlignment="0" applyProtection="0">
      <alignment vertical="center"/>
    </xf>
    <xf numFmtId="0" fontId="10" fillId="8" borderId="5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tabSelected="1" topLeftCell="A18" workbookViewId="0">
      <selection activeCell="E24" sqref="E24"/>
    </sheetView>
  </sheetViews>
  <sheetFormatPr defaultColWidth="9" defaultRowHeight="14.4" outlineLevelCol="6"/>
  <cols>
    <col min="1" max="1" width="9" style="5"/>
    <col min="2" max="2" width="21.25" style="5" customWidth="1"/>
    <col min="3" max="3" width="7" style="5" customWidth="1"/>
    <col min="4" max="4" width="19.1851851851852" style="5" customWidth="1"/>
    <col min="5" max="5" width="73.8703703703704" style="5" customWidth="1"/>
    <col min="6" max="6" width="50.1296296296296" style="5" customWidth="1"/>
    <col min="7" max="7" width="32.5" style="5" customWidth="1"/>
    <col min="8" max="16384" width="9" style="5"/>
  </cols>
  <sheetData>
    <row r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5" t="s">
        <v>0</v>
      </c>
      <c r="B2" s="5" t="s">
        <v>7</v>
      </c>
      <c r="F2" s="5" t="s">
        <v>8</v>
      </c>
      <c r="G2" s="5" t="s">
        <v>9</v>
      </c>
    </row>
    <row r="3" spans="1:7">
      <c r="A3" s="5" t="s">
        <v>10</v>
      </c>
      <c r="B3" s="5" t="s">
        <v>11</v>
      </c>
      <c r="C3" s="5" t="s">
        <v>10</v>
      </c>
      <c r="D3" s="5" t="s">
        <v>12</v>
      </c>
      <c r="E3" s="5" t="s">
        <v>11</v>
      </c>
      <c r="F3" s="5" t="s">
        <v>11</v>
      </c>
      <c r="G3" s="5" t="s">
        <v>11</v>
      </c>
    </row>
    <row r="4" s="2" customFormat="1" spans="1:3">
      <c r="A4" s="5">
        <v>0</v>
      </c>
      <c r="B4" s="2" t="s">
        <v>13</v>
      </c>
      <c r="C4" s="2">
        <f>1/50</f>
        <v>0.02</v>
      </c>
    </row>
    <row r="5" s="3" customFormat="1" spans="1:6">
      <c r="A5" s="5">
        <v>1</v>
      </c>
      <c r="B5" s="3" t="s">
        <v>14</v>
      </c>
      <c r="E5" s="3" t="s">
        <v>15</v>
      </c>
      <c r="F5" s="3" t="s">
        <v>16</v>
      </c>
    </row>
    <row r="6" s="4" customFormat="1" spans="1:3">
      <c r="A6" s="5">
        <v>2</v>
      </c>
      <c r="B6" s="4" t="s">
        <v>17</v>
      </c>
      <c r="C6" s="4">
        <v>200</v>
      </c>
    </row>
    <row r="7" spans="1:6">
      <c r="A7" s="5">
        <v>3</v>
      </c>
      <c r="B7" s="6" t="s">
        <v>18</v>
      </c>
      <c r="C7" s="6">
        <v>1</v>
      </c>
      <c r="D7" s="6"/>
      <c r="E7" s="6"/>
      <c r="F7" s="6"/>
    </row>
    <row r="8" spans="1:6">
      <c r="A8" s="5">
        <v>4</v>
      </c>
      <c r="B8" s="6" t="s">
        <v>19</v>
      </c>
      <c r="C8" s="6">
        <v>10</v>
      </c>
      <c r="D8" s="6"/>
      <c r="E8" s="6"/>
      <c r="F8" s="6"/>
    </row>
    <row r="9" ht="43.2" spans="1:5">
      <c r="A9" s="5">
        <v>5</v>
      </c>
      <c r="B9" s="5" t="s">
        <v>20</v>
      </c>
      <c r="E9" s="7" t="s">
        <v>21</v>
      </c>
    </row>
    <row r="10" spans="1:4">
      <c r="A10" s="5">
        <v>6</v>
      </c>
      <c r="B10" s="5" t="s">
        <v>22</v>
      </c>
      <c r="D10" s="5">
        <v>1</v>
      </c>
    </row>
    <row r="11" spans="1:4">
      <c r="A11" s="5">
        <v>7</v>
      </c>
      <c r="B11" s="5" t="s">
        <v>23</v>
      </c>
      <c r="D11" s="5">
        <v>1000</v>
      </c>
    </row>
    <row r="12" spans="1:4">
      <c r="A12" s="5">
        <v>8</v>
      </c>
      <c r="B12" s="5" t="s">
        <v>24</v>
      </c>
      <c r="D12" s="8">
        <v>10000</v>
      </c>
    </row>
    <row r="13" spans="1:4">
      <c r="A13" s="5">
        <v>9</v>
      </c>
      <c r="B13" s="5" t="s">
        <v>25</v>
      </c>
      <c r="D13" s="8">
        <v>19000</v>
      </c>
    </row>
    <row r="14" spans="1:4">
      <c r="A14" s="5">
        <v>10</v>
      </c>
      <c r="B14" s="5" t="s">
        <v>26</v>
      </c>
      <c r="D14" s="8">
        <v>52000</v>
      </c>
    </row>
    <row r="15" spans="1:6">
      <c r="A15" s="5">
        <v>11</v>
      </c>
      <c r="B15" s="5" t="s">
        <v>27</v>
      </c>
      <c r="D15" s="5">
        <v>99000</v>
      </c>
      <c r="F15" s="5" t="s">
        <v>28</v>
      </c>
    </row>
    <row r="16" spans="1:6">
      <c r="A16" s="5">
        <v>12</v>
      </c>
      <c r="B16" s="5" t="s">
        <v>29</v>
      </c>
      <c r="D16" s="5">
        <v>199000</v>
      </c>
      <c r="F16" s="5" t="s">
        <v>30</v>
      </c>
    </row>
    <row r="17" spans="1:6">
      <c r="A17" s="5">
        <v>13</v>
      </c>
      <c r="B17" s="5" t="s">
        <v>31</v>
      </c>
      <c r="D17" s="5">
        <v>520000</v>
      </c>
      <c r="F17" s="5" t="s">
        <v>32</v>
      </c>
    </row>
    <row r="18" ht="204" customHeight="1" spans="1:5">
      <c r="A18" s="5">
        <v>14</v>
      </c>
      <c r="B18" s="5" t="s">
        <v>33</v>
      </c>
      <c r="E18" s="7" t="s">
        <v>34</v>
      </c>
    </row>
    <row r="19" spans="1:2">
      <c r="A19" s="5">
        <v>15</v>
      </c>
      <c r="B19" s="5" t="s">
        <v>35</v>
      </c>
    </row>
    <row r="20" spans="1:2">
      <c r="A20" s="5">
        <v>16</v>
      </c>
      <c r="B20" s="5" t="s">
        <v>36</v>
      </c>
    </row>
    <row r="21" spans="1:2">
      <c r="A21" s="5">
        <v>17</v>
      </c>
      <c r="B21" s="5" t="s">
        <v>37</v>
      </c>
    </row>
    <row r="22" spans="1:2">
      <c r="A22" s="5">
        <v>18</v>
      </c>
      <c r="B22" s="5" t="s">
        <v>38</v>
      </c>
    </row>
    <row r="23" spans="1:2">
      <c r="A23" s="5">
        <v>19</v>
      </c>
      <c r="B23" s="5" t="s">
        <v>39</v>
      </c>
    </row>
    <row r="24" spans="1:5">
      <c r="A24" s="5">
        <v>20</v>
      </c>
      <c r="B24" s="5" t="s">
        <v>40</v>
      </c>
      <c r="E24" s="5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workbookViewId="0">
      <selection activeCell="E7" sqref="E7"/>
    </sheetView>
  </sheetViews>
  <sheetFormatPr defaultColWidth="9" defaultRowHeight="14.4"/>
  <cols>
    <col min="1" max="1" width="9" style="1"/>
    <col min="2" max="2" width="12.8148148148148" style="1"/>
    <col min="3" max="3" width="9" style="1"/>
    <col min="4" max="6" width="12.8148148148148" style="1"/>
    <col min="7" max="7" width="14" style="1"/>
    <col min="8" max="8" width="12.8148148148148" style="1"/>
    <col min="9" max="12" width="9" style="1"/>
    <col min="13" max="13" width="12.8148148148148" style="1"/>
    <col min="14" max="14" width="9" style="1"/>
    <col min="15" max="15" width="12.8148148148148" style="1"/>
    <col min="16" max="16384" width="9" style="1"/>
  </cols>
  <sheetData>
    <row r="1" s="1" customFormat="1" spans="1:7">
      <c r="A1" s="1" t="s">
        <v>42</v>
      </c>
      <c r="B1" s="1" t="s">
        <v>43</v>
      </c>
      <c r="C1" s="1">
        <v>200</v>
      </c>
      <c r="D1" s="1" t="s">
        <v>44</v>
      </c>
      <c r="E1" s="1">
        <v>30</v>
      </c>
      <c r="F1" s="1" t="s">
        <v>45</v>
      </c>
      <c r="G1" s="1">
        <v>15</v>
      </c>
    </row>
    <row r="2" s="1" customFormat="1" spans="1:15">
      <c r="A2" s="1">
        <v>1</v>
      </c>
      <c r="B2" s="1">
        <f t="shared" ref="B2:B59" si="0">1-1/(1+D2)</f>
        <v>0.0476190476190477</v>
      </c>
      <c r="C2" s="1">
        <v>1</v>
      </c>
      <c r="D2" s="1">
        <f>E$2*A2/(A2+E$1)+E$3</f>
        <v>0.05</v>
      </c>
      <c r="E2" s="1">
        <v>1.55</v>
      </c>
      <c r="F2" s="1">
        <f>G$2*A2/(A2+G$1)+G$3</f>
        <v>0.05</v>
      </c>
      <c r="G2" s="1">
        <v>3</v>
      </c>
      <c r="O2" s="1">
        <f t="shared" ref="O2:O11" si="1">(1+D2)*(1-B2)</f>
        <v>1</v>
      </c>
    </row>
    <row r="3" s="1" customFormat="1" spans="1:15">
      <c r="A3" s="1">
        <v>2</v>
      </c>
      <c r="B3" s="1">
        <f t="shared" si="0"/>
        <v>0.0883190883190883</v>
      </c>
      <c r="C3" s="1">
        <v>0</v>
      </c>
      <c r="D3" s="1">
        <f>E$2*A3/(A3+E$1)+E$3</f>
        <v>0.096875</v>
      </c>
      <c r="E3" s="1">
        <v>0</v>
      </c>
      <c r="F3" s="1">
        <f>G$2*A3/(A3+G$1)+G$3</f>
        <v>0.215441176470588</v>
      </c>
      <c r="G3" s="1">
        <f>0.05-0.1875</f>
        <v>-0.1375</v>
      </c>
      <c r="O3" s="1">
        <f t="shared" si="1"/>
        <v>1</v>
      </c>
    </row>
    <row r="4" s="1" customFormat="1" spans="1:15">
      <c r="A4" s="1">
        <v>3</v>
      </c>
      <c r="B4" s="1">
        <f t="shared" si="0"/>
        <v>0.123505976095618</v>
      </c>
      <c r="D4" s="1">
        <f>E$2*A4/(A4+E$1)+E$3</f>
        <v>0.140909090909091</v>
      </c>
      <c r="F4" s="1">
        <f>G$2*A4/(A4+G$1)+G$3</f>
        <v>0.3625</v>
      </c>
      <c r="O4" s="1">
        <f t="shared" si="1"/>
        <v>1</v>
      </c>
    </row>
    <row r="5" s="1" customFormat="1" spans="1:15">
      <c r="A5" s="1">
        <v>4</v>
      </c>
      <c r="B5" s="1">
        <f t="shared" si="0"/>
        <v>0.154228855721393</v>
      </c>
      <c r="D5" s="1">
        <f>E$2*A5/(A5+E$1)+E$3</f>
        <v>0.182352941176471</v>
      </c>
      <c r="F5" s="1">
        <f>G$2*A5/(A5+G$1)+G$3</f>
        <v>0.494078947368421</v>
      </c>
      <c r="O5" s="1">
        <f t="shared" si="1"/>
        <v>1</v>
      </c>
    </row>
    <row r="6" s="1" customFormat="1" spans="1:15">
      <c r="A6" s="1">
        <v>5</v>
      </c>
      <c r="B6" s="1">
        <f t="shared" si="0"/>
        <v>0.181286549707602</v>
      </c>
      <c r="D6" s="1">
        <f>E$2*A6/(A6+E$1)+E$3</f>
        <v>0.221428571428571</v>
      </c>
      <c r="F6" s="1">
        <f>G$2*A6/(A6+G$1)+G$3</f>
        <v>0.6125</v>
      </c>
      <c r="O6" s="1">
        <f t="shared" si="1"/>
        <v>1</v>
      </c>
    </row>
    <row r="7" s="1" customFormat="1" spans="1:15">
      <c r="A7" s="1">
        <v>6</v>
      </c>
      <c r="B7" s="1">
        <f t="shared" si="0"/>
        <v>0.205298013245033</v>
      </c>
      <c r="D7" s="1">
        <f>E$2*A7/(A7+E$1)+E$3</f>
        <v>0.258333333333333</v>
      </c>
      <c r="F7" s="1">
        <f>G$2*A7/(A7+G$1)+G$3</f>
        <v>0.719642857142857</v>
      </c>
      <c r="O7" s="1">
        <f t="shared" si="1"/>
        <v>1</v>
      </c>
    </row>
    <row r="8" s="1" customFormat="1" spans="1:15">
      <c r="A8" s="1">
        <v>7</v>
      </c>
      <c r="B8" s="1">
        <f t="shared" si="0"/>
        <v>0.22675026123302</v>
      </c>
      <c r="D8" s="1">
        <f>E$2*A8/(A8+E$1)+E$3</f>
        <v>0.293243243243243</v>
      </c>
      <c r="F8" s="1">
        <f>G$2*A8/(A8+G$1)+G$3</f>
        <v>0.817045454545455</v>
      </c>
      <c r="O8" s="1">
        <f t="shared" si="1"/>
        <v>1</v>
      </c>
    </row>
    <row r="9" s="1" customFormat="1" spans="1:15">
      <c r="A9" s="1">
        <v>8</v>
      </c>
      <c r="B9" s="1">
        <f t="shared" si="0"/>
        <v>0.246031746031746</v>
      </c>
      <c r="D9" s="1">
        <f>E$2*A9/(A9+E$1)+E$3</f>
        <v>0.326315789473684</v>
      </c>
      <c r="F9" s="1">
        <f>G$2*A9/(A9+G$1)+G$3</f>
        <v>0.905978260869565</v>
      </c>
      <c r="H9" s="1">
        <f>0.1-D2</f>
        <v>0.05</v>
      </c>
      <c r="O9" s="1">
        <f t="shared" si="1"/>
        <v>1</v>
      </c>
    </row>
    <row r="10" s="1" customFormat="1" spans="1:15">
      <c r="A10" s="1">
        <v>9</v>
      </c>
      <c r="B10" s="1">
        <f t="shared" si="0"/>
        <v>0.263456090651558</v>
      </c>
      <c r="D10" s="1">
        <f>E$2*A10/(A10+E$1)+E$3</f>
        <v>0.357692307692308</v>
      </c>
      <c r="F10" s="1">
        <f>G$2*A10/(A10+G$1)+G$3</f>
        <v>0.9875</v>
      </c>
      <c r="O10" s="1">
        <f t="shared" si="1"/>
        <v>1</v>
      </c>
    </row>
    <row r="11" s="1" customFormat="1" spans="1:15">
      <c r="A11" s="1">
        <v>10</v>
      </c>
      <c r="B11" s="1">
        <f t="shared" si="0"/>
        <v>0.279279279279279</v>
      </c>
      <c r="D11" s="1">
        <f>E$2*A11/(A11+E$1)+E$3</f>
        <v>0.3875</v>
      </c>
      <c r="F11" s="1">
        <f>G$2*A11/(A11+G$1)+G$3</f>
        <v>1.0625</v>
      </c>
      <c r="O11" s="1">
        <f t="shared" si="1"/>
        <v>1</v>
      </c>
    </row>
    <row r="12" s="1" customFormat="1" spans="1:6">
      <c r="A12" s="1">
        <v>15</v>
      </c>
      <c r="B12" s="1">
        <f t="shared" si="0"/>
        <v>0.340659340659341</v>
      </c>
      <c r="D12" s="1">
        <f>E$2*A12/(A12+E$1)+E$3</f>
        <v>0.516666666666667</v>
      </c>
      <c r="F12" s="1">
        <f>G$2*A12/(A12+G$1)+G$3</f>
        <v>1.3625</v>
      </c>
    </row>
    <row r="13" s="1" customFormat="1" spans="1:15">
      <c r="A13" s="1">
        <v>20</v>
      </c>
      <c r="B13" s="1">
        <f t="shared" si="0"/>
        <v>0.382716049382716</v>
      </c>
      <c r="D13" s="1">
        <f>E$2*A13/(A13+E$1)+E$3</f>
        <v>0.62</v>
      </c>
      <c r="F13" s="1">
        <f>G$2*A13/(A13+G$1)+G$3</f>
        <v>1.57678571428571</v>
      </c>
      <c r="O13" s="1">
        <f t="shared" ref="O13:O59" si="2">(1+D13)*(1-B13)</f>
        <v>1</v>
      </c>
    </row>
    <row r="14" s="1" customFormat="1" spans="1:15">
      <c r="A14" s="1">
        <v>30</v>
      </c>
      <c r="B14" s="1">
        <f t="shared" si="0"/>
        <v>0.436619718309859</v>
      </c>
      <c r="D14" s="1">
        <f>E$2*A14/(A14+E$1)+E$3</f>
        <v>0.775</v>
      </c>
      <c r="F14" s="1">
        <f>G$2*A14/(A14+G$1)+G$3</f>
        <v>1.8625</v>
      </c>
      <c r="O14" s="1">
        <f t="shared" si="2"/>
        <v>1</v>
      </c>
    </row>
    <row r="15" s="1" customFormat="1" spans="1:15">
      <c r="A15" s="1">
        <v>40</v>
      </c>
      <c r="B15" s="1">
        <f t="shared" si="0"/>
        <v>0.46969696969697</v>
      </c>
      <c r="D15" s="1">
        <f>E$2*A15/(A15+E$1)+E$3</f>
        <v>0.885714285714286</v>
      </c>
      <c r="F15" s="1">
        <f>G$2*A15/(A15+G$1)+G$3</f>
        <v>2.04431818181818</v>
      </c>
      <c r="O15" s="1">
        <f t="shared" si="2"/>
        <v>1</v>
      </c>
    </row>
    <row r="16" s="1" customFormat="1" spans="1:15">
      <c r="A16" s="1">
        <v>50</v>
      </c>
      <c r="B16" s="1">
        <f t="shared" si="0"/>
        <v>0.492063492063492</v>
      </c>
      <c r="D16" s="1">
        <f>E$2*A16/(A16+E$1)+E$3</f>
        <v>0.96875</v>
      </c>
      <c r="F16" s="1">
        <f>G$2*A16/(A16+G$1)+G$3</f>
        <v>2.17019230769231</v>
      </c>
      <c r="O16" s="1">
        <f t="shared" si="2"/>
        <v>1</v>
      </c>
    </row>
    <row r="17" s="1" customFormat="1" spans="1:15">
      <c r="A17" s="1">
        <v>60</v>
      </c>
      <c r="B17" s="1">
        <f t="shared" si="0"/>
        <v>0.508196721311475</v>
      </c>
      <c r="D17" s="1">
        <f>E$2*A17/(A17+E$1)+E$3</f>
        <v>1.03333333333333</v>
      </c>
      <c r="F17" s="1">
        <f>G$2*A17/(A17+G$1)+G$3</f>
        <v>2.2625</v>
      </c>
      <c r="O17" s="1">
        <f t="shared" si="2"/>
        <v>1</v>
      </c>
    </row>
    <row r="18" s="1" customFormat="1" spans="1:15">
      <c r="A18" s="1">
        <v>70</v>
      </c>
      <c r="B18" s="1">
        <f t="shared" si="0"/>
        <v>0.520383693045564</v>
      </c>
      <c r="D18" s="1">
        <f>E$2*A18/(A18+E$1)+E$3</f>
        <v>1.085</v>
      </c>
      <c r="F18" s="1">
        <f>G$2*A18/(A18+G$1)+G$3</f>
        <v>2.33308823529412</v>
      </c>
      <c r="O18" s="1">
        <f t="shared" si="2"/>
        <v>1</v>
      </c>
    </row>
    <row r="19" s="1" customFormat="1" spans="1:15">
      <c r="A19" s="1">
        <v>80</v>
      </c>
      <c r="B19" s="1">
        <f t="shared" si="0"/>
        <v>0.52991452991453</v>
      </c>
      <c r="D19" s="1">
        <f>E$2*A19/(A19+E$1)+E$3</f>
        <v>1.12727272727273</v>
      </c>
      <c r="F19" s="1">
        <f>G$2*A19/(A19+G$1)+G$3</f>
        <v>2.38881578947368</v>
      </c>
      <c r="O19" s="1">
        <f t="shared" si="2"/>
        <v>1</v>
      </c>
    </row>
    <row r="20" s="1" customFormat="1" spans="1:15">
      <c r="A20" s="1">
        <v>90</v>
      </c>
      <c r="B20" s="1">
        <f t="shared" si="0"/>
        <v>0.53757225433526</v>
      </c>
      <c r="D20" s="1">
        <f>E$2*A20/(A20+E$1)+E$3</f>
        <v>1.1625</v>
      </c>
      <c r="F20" s="1">
        <f>G$2*A20/(A20+G$1)+G$3</f>
        <v>2.43392857142857</v>
      </c>
      <c r="O20" s="1">
        <f t="shared" si="2"/>
        <v>1</v>
      </c>
    </row>
    <row r="21" s="1" customFormat="1" spans="1:15">
      <c r="A21" s="1">
        <v>100</v>
      </c>
      <c r="B21" s="1">
        <f t="shared" si="0"/>
        <v>0.543859649122807</v>
      </c>
      <c r="D21" s="1">
        <f>E$2*A21/(A21+E$1)+E$3</f>
        <v>1.19230769230769</v>
      </c>
      <c r="F21" s="1">
        <f>G$2*A21/(A21+G$1)+G$3</f>
        <v>2.47119565217391</v>
      </c>
      <c r="O21" s="1">
        <f t="shared" si="2"/>
        <v>1</v>
      </c>
    </row>
    <row r="22" s="1" customFormat="1" spans="1:15">
      <c r="A22" s="1">
        <v>110</v>
      </c>
      <c r="B22" s="1">
        <f t="shared" si="0"/>
        <v>0.549114331723027</v>
      </c>
      <c r="D22" s="1">
        <f>E$2*A22/(A22+E$1)+E$3</f>
        <v>1.21785714285714</v>
      </c>
      <c r="F22" s="1">
        <f>G$2*A22/(A22+G$1)+G$3</f>
        <v>2.5025</v>
      </c>
      <c r="O22" s="1">
        <f t="shared" si="2"/>
        <v>1</v>
      </c>
    </row>
    <row r="23" s="1" customFormat="1" spans="1:15">
      <c r="A23" s="1">
        <v>120</v>
      </c>
      <c r="B23" s="1">
        <f t="shared" si="0"/>
        <v>0.553571428571429</v>
      </c>
      <c r="D23" s="1">
        <f>E$2*A23/(A23+E$1)+E$3</f>
        <v>1.24</v>
      </c>
      <c r="F23" s="1">
        <f>G$2*A23/(A23+G$1)+G$3</f>
        <v>2.52916666666667</v>
      </c>
      <c r="O23" s="1">
        <f t="shared" si="2"/>
        <v>1</v>
      </c>
    </row>
    <row r="24" s="1" customFormat="1" spans="1:15">
      <c r="A24" s="1">
        <v>130</v>
      </c>
      <c r="B24" s="1">
        <f t="shared" si="0"/>
        <v>0.557399723374827</v>
      </c>
      <c r="D24" s="1">
        <f>E$2*A24/(A24+E$1)+E$3</f>
        <v>1.259375</v>
      </c>
      <c r="F24" s="1">
        <f>G$2*A24/(A24+G$1)+G$3</f>
        <v>2.55215517241379</v>
      </c>
      <c r="O24" s="1">
        <f t="shared" si="2"/>
        <v>1</v>
      </c>
    </row>
    <row r="25" s="1" customFormat="1" spans="1:15">
      <c r="A25" s="1">
        <v>140</v>
      </c>
      <c r="B25" s="1">
        <f t="shared" si="0"/>
        <v>0.560723514211886</v>
      </c>
      <c r="D25" s="1">
        <f>E$2*A25/(A25+E$1)+E$3</f>
        <v>1.27647058823529</v>
      </c>
      <c r="F25" s="1">
        <f>G$2*A25/(A25+G$1)+G$3</f>
        <v>2.57217741935484</v>
      </c>
      <c r="O25" s="1">
        <f t="shared" si="2"/>
        <v>1</v>
      </c>
    </row>
    <row r="26" s="1" customFormat="1" spans="1:15">
      <c r="A26" s="1">
        <v>150</v>
      </c>
      <c r="B26" s="1">
        <f t="shared" si="0"/>
        <v>0.563636363636364</v>
      </c>
      <c r="D26" s="1">
        <f>E$2*A26/(A26+E$1)+E$3</f>
        <v>1.29166666666667</v>
      </c>
      <c r="F26" s="1">
        <f>G$2*A26/(A26+G$1)+G$3</f>
        <v>2.58977272727273</v>
      </c>
      <c r="O26" s="1">
        <f t="shared" si="2"/>
        <v>1</v>
      </c>
    </row>
    <row r="27" s="1" customFormat="1" spans="1:15">
      <c r="A27" s="1">
        <v>160</v>
      </c>
      <c r="B27" s="1">
        <f t="shared" si="0"/>
        <v>0.5662100456621</v>
      </c>
      <c r="D27" s="1">
        <f>E$2*A27/(A27+E$1)+E$3</f>
        <v>1.30526315789474</v>
      </c>
      <c r="F27" s="1">
        <f>G$2*A27/(A27+G$1)+G$3</f>
        <v>2.60535714285714</v>
      </c>
      <c r="O27" s="1">
        <f t="shared" si="2"/>
        <v>1</v>
      </c>
    </row>
    <row r="28" s="1" customFormat="1" spans="1:15">
      <c r="A28" s="1">
        <v>170</v>
      </c>
      <c r="B28" s="1">
        <f t="shared" si="0"/>
        <v>0.568500539374326</v>
      </c>
      <c r="D28" s="1">
        <f>E$2*A28/(A28+E$1)+E$3</f>
        <v>1.3175</v>
      </c>
      <c r="F28" s="1">
        <f>G$2*A28/(A28+G$1)+G$3</f>
        <v>2.61925675675676</v>
      </c>
      <c r="O28" s="1">
        <f t="shared" si="2"/>
        <v>1</v>
      </c>
    </row>
    <row r="29" s="1" customFormat="1" spans="1:15">
      <c r="A29" s="1">
        <v>180</v>
      </c>
      <c r="B29" s="1">
        <f t="shared" si="0"/>
        <v>0.570552147239264</v>
      </c>
      <c r="D29" s="1">
        <f>E$2*A29/(A29+E$1)+E$3</f>
        <v>1.32857142857143</v>
      </c>
      <c r="F29" s="1">
        <f>G$2*A29/(A29+G$1)+G$3</f>
        <v>2.63173076923077</v>
      </c>
      <c r="O29" s="1">
        <f t="shared" si="2"/>
        <v>1</v>
      </c>
    </row>
    <row r="30" s="1" customFormat="1" spans="1:15">
      <c r="A30" s="1">
        <v>190</v>
      </c>
      <c r="B30" s="1">
        <f t="shared" si="0"/>
        <v>0.572400388726919</v>
      </c>
      <c r="D30" s="1">
        <f>E$2*A30/(A30+E$1)+E$3</f>
        <v>1.33863636363636</v>
      </c>
      <c r="F30" s="1">
        <f>G$2*A30/(A30+G$1)+G$3</f>
        <v>2.64298780487805</v>
      </c>
      <c r="O30" s="1">
        <f t="shared" si="2"/>
        <v>1</v>
      </c>
    </row>
    <row r="31" s="1" customFormat="1" spans="1:15">
      <c r="A31" s="1">
        <v>200</v>
      </c>
      <c r="B31" s="1">
        <f t="shared" si="0"/>
        <v>0.574074074074074</v>
      </c>
      <c r="D31" s="1">
        <f>E$2*A31/(A31+E$1)+E$3</f>
        <v>1.34782608695652</v>
      </c>
      <c r="F31" s="1">
        <f>G$2*A31/(A31+G$1)+G$3</f>
        <v>2.6531976744186</v>
      </c>
      <c r="O31" s="1">
        <f t="shared" si="2"/>
        <v>1</v>
      </c>
    </row>
    <row r="32" s="1" customFormat="1" spans="1:15">
      <c r="A32" s="1">
        <v>210</v>
      </c>
      <c r="B32" s="1">
        <f t="shared" si="0"/>
        <v>0.575596816976127</v>
      </c>
      <c r="D32" s="1">
        <f>E$2*A32/(A32+E$1)+E$3</f>
        <v>1.35625</v>
      </c>
      <c r="F32" s="1">
        <f>G$2*A32/(A32+G$1)+G$3</f>
        <v>2.6625</v>
      </c>
      <c r="O32" s="1">
        <f t="shared" si="2"/>
        <v>1</v>
      </c>
    </row>
    <row r="33" s="1" customFormat="1" spans="1:15">
      <c r="A33" s="1">
        <v>220</v>
      </c>
      <c r="B33" s="1">
        <f t="shared" si="0"/>
        <v>0.576988155668359</v>
      </c>
      <c r="D33" s="1">
        <f>E$2*A33/(A33+E$1)+E$3</f>
        <v>1.364</v>
      </c>
      <c r="F33" s="1">
        <f>G$2*A33/(A33+G$1)+G$3</f>
        <v>2.67101063829787</v>
      </c>
      <c r="O33" s="1">
        <f t="shared" si="2"/>
        <v>1</v>
      </c>
    </row>
    <row r="34" s="1" customFormat="1" spans="1:15">
      <c r="A34" s="1">
        <v>230</v>
      </c>
      <c r="B34" s="1">
        <f t="shared" si="0"/>
        <v>0.578264395782644</v>
      </c>
      <c r="D34" s="1">
        <f>E$2*A34/(A34+E$1)+E$3</f>
        <v>1.37115384615385</v>
      </c>
      <c r="F34" s="1">
        <f>G$2*A34/(A34+G$1)+G$3</f>
        <v>2.67882653061224</v>
      </c>
      <c r="O34" s="1">
        <f t="shared" si="2"/>
        <v>1</v>
      </c>
    </row>
    <row r="35" s="1" customFormat="1" spans="1:15">
      <c r="A35" s="1">
        <v>240</v>
      </c>
      <c r="B35" s="1">
        <f t="shared" si="0"/>
        <v>0.579439252336449</v>
      </c>
      <c r="D35" s="1">
        <f>E$2*A35/(A35+E$1)+E$3</f>
        <v>1.37777777777778</v>
      </c>
      <c r="F35" s="1">
        <f>G$2*A35/(A35+G$1)+G$3</f>
        <v>2.68602941176471</v>
      </c>
      <c r="O35" s="1">
        <f t="shared" si="2"/>
        <v>1</v>
      </c>
    </row>
    <row r="36" s="1" customFormat="1" spans="1:15">
      <c r="A36" s="1">
        <v>250</v>
      </c>
      <c r="B36" s="1">
        <f t="shared" si="0"/>
        <v>0.580524344569288</v>
      </c>
      <c r="D36" s="1">
        <f>E$2*A36/(A36+E$1)+E$3</f>
        <v>1.38392857142857</v>
      </c>
      <c r="F36" s="1">
        <f>G$2*A36/(A36+G$1)+G$3</f>
        <v>2.69268867924528</v>
      </c>
      <c r="O36" s="1">
        <f t="shared" si="2"/>
        <v>1</v>
      </c>
    </row>
    <row r="37" s="1" customFormat="1" spans="1:15">
      <c r="A37" s="1">
        <v>260</v>
      </c>
      <c r="B37" s="1">
        <f t="shared" si="0"/>
        <v>0.581529581529582</v>
      </c>
      <c r="D37" s="1">
        <f>E$2*A37/(A37+E$1)+E$3</f>
        <v>1.38965517241379</v>
      </c>
      <c r="F37" s="1">
        <f>G$2*A37/(A37+G$1)+G$3</f>
        <v>2.69886363636364</v>
      </c>
      <c r="O37" s="1">
        <f t="shared" si="2"/>
        <v>1</v>
      </c>
    </row>
    <row r="38" s="1" customFormat="1" spans="1:15">
      <c r="A38" s="1">
        <v>270</v>
      </c>
      <c r="B38" s="1">
        <f t="shared" si="0"/>
        <v>0.582463465553236</v>
      </c>
      <c r="D38" s="1">
        <f>E$2*A38/(A38+E$1)+E$3</f>
        <v>1.395</v>
      </c>
      <c r="F38" s="1">
        <f>G$2*A38/(A38+G$1)+G$3</f>
        <v>2.70460526315789</v>
      </c>
      <c r="O38" s="1">
        <f t="shared" si="2"/>
        <v>1</v>
      </c>
    </row>
    <row r="39" s="1" customFormat="1" spans="1:15">
      <c r="A39" s="1">
        <v>280</v>
      </c>
      <c r="B39" s="1">
        <f t="shared" si="0"/>
        <v>0.583333333333333</v>
      </c>
      <c r="D39" s="1">
        <f>E$2*A39/(A39+E$1)+E$3</f>
        <v>1.4</v>
      </c>
      <c r="F39" s="1">
        <f>G$2*A39/(A39+G$1)+G$3</f>
        <v>2.70995762711864</v>
      </c>
      <c r="O39" s="1">
        <f t="shared" si="2"/>
        <v>1</v>
      </c>
    </row>
    <row r="40" s="1" customFormat="1" spans="1:15">
      <c r="A40" s="1">
        <v>290</v>
      </c>
      <c r="B40" s="1">
        <f t="shared" si="0"/>
        <v>0.58414554905783</v>
      </c>
      <c r="D40" s="1">
        <f>E$2*A40/(A40+E$1)+E$3</f>
        <v>1.4046875</v>
      </c>
      <c r="F40" s="1">
        <f>G$2*A40/(A40+G$1)+G$3</f>
        <v>2.71495901639344</v>
      </c>
      <c r="O40" s="1">
        <f t="shared" si="2"/>
        <v>1</v>
      </c>
    </row>
    <row r="41" s="1" customFormat="1" spans="1:15">
      <c r="A41" s="1">
        <v>300</v>
      </c>
      <c r="B41" s="1">
        <f t="shared" si="0"/>
        <v>0.584905660377359</v>
      </c>
      <c r="D41" s="1">
        <f>E$2*A41/(A41+E$1)+E$3</f>
        <v>1.40909090909091</v>
      </c>
      <c r="F41" s="1">
        <f>G$2*A41/(A41+G$1)+G$3</f>
        <v>2.71964285714286</v>
      </c>
      <c r="O41" s="1">
        <f t="shared" si="2"/>
        <v>1</v>
      </c>
    </row>
    <row r="42" s="1" customFormat="1" spans="1:15">
      <c r="A42" s="1">
        <v>310</v>
      </c>
      <c r="B42" s="1">
        <f t="shared" si="0"/>
        <v>0.585618525289458</v>
      </c>
      <c r="D42" s="1">
        <f>E$2*A42/(A42+E$1)+E$3</f>
        <v>1.41323529411765</v>
      </c>
      <c r="F42" s="1">
        <f>G$2*A42/(A42+G$1)+G$3</f>
        <v>2.72403846153846</v>
      </c>
      <c r="O42" s="1">
        <f t="shared" si="2"/>
        <v>1</v>
      </c>
    </row>
    <row r="43" s="1" customFormat="1" spans="1:15">
      <c r="A43" s="1">
        <v>320</v>
      </c>
      <c r="B43" s="1">
        <f t="shared" si="0"/>
        <v>0.58628841607565</v>
      </c>
      <c r="D43" s="1">
        <f>E$2*A43/(A43+E$1)+E$3</f>
        <v>1.41714285714286</v>
      </c>
      <c r="F43" s="1">
        <f>G$2*A43/(A43+G$1)+G$3</f>
        <v>2.72817164179104</v>
      </c>
      <c r="O43" s="1">
        <f t="shared" si="2"/>
        <v>1</v>
      </c>
    </row>
    <row r="44" s="1" customFormat="1" spans="1:15">
      <c r="A44" s="1">
        <v>330</v>
      </c>
      <c r="B44" s="1">
        <f t="shared" si="0"/>
        <v>0.586919104991394</v>
      </c>
      <c r="D44" s="1">
        <f>E$2*A44/(A44+E$1)+E$3</f>
        <v>1.42083333333333</v>
      </c>
      <c r="F44" s="1">
        <f>G$2*A44/(A44+G$1)+G$3</f>
        <v>2.7320652173913</v>
      </c>
      <c r="O44" s="1">
        <f t="shared" si="2"/>
        <v>1</v>
      </c>
    </row>
    <row r="45" s="1" customFormat="1" spans="1:15">
      <c r="A45" s="1">
        <v>340</v>
      </c>
      <c r="B45" s="1">
        <f t="shared" si="0"/>
        <v>0.587513935340022</v>
      </c>
      <c r="D45" s="1">
        <f>E$2*A45/(A45+E$1)+E$3</f>
        <v>1.42432432432432</v>
      </c>
      <c r="F45" s="1">
        <f>G$2*A45/(A45+G$1)+G$3</f>
        <v>2.73573943661972</v>
      </c>
      <c r="O45" s="1">
        <f t="shared" si="2"/>
        <v>1</v>
      </c>
    </row>
    <row r="46" s="1" customFormat="1" spans="1:15">
      <c r="A46" s="1">
        <v>350</v>
      </c>
      <c r="B46" s="1">
        <f t="shared" si="0"/>
        <v>0.588075880758808</v>
      </c>
      <c r="D46" s="1">
        <f>E$2*A46/(A46+E$1)+E$3</f>
        <v>1.42763157894737</v>
      </c>
      <c r="F46" s="1">
        <f>G$2*A46/(A46+G$1)+G$3</f>
        <v>2.73921232876712</v>
      </c>
      <c r="O46" s="1">
        <f t="shared" si="2"/>
        <v>1</v>
      </c>
    </row>
    <row r="47" s="1" customFormat="1" spans="1:15">
      <c r="A47" s="1">
        <v>360</v>
      </c>
      <c r="B47" s="1">
        <f t="shared" si="0"/>
        <v>0.588607594936709</v>
      </c>
      <c r="D47" s="1">
        <f>E$2*A47/(A47+E$1)+E$3</f>
        <v>1.43076923076923</v>
      </c>
      <c r="F47" s="1">
        <f>G$2*A47/(A47+G$1)+G$3</f>
        <v>2.7425</v>
      </c>
      <c r="O47" s="1">
        <f t="shared" si="2"/>
        <v>1</v>
      </c>
    </row>
    <row r="48" s="1" customFormat="1" spans="1:15">
      <c r="A48" s="1">
        <v>370</v>
      </c>
      <c r="B48" s="1">
        <f t="shared" si="0"/>
        <v>0.589111453518233</v>
      </c>
      <c r="D48" s="1">
        <f>E$2*A48/(A48+E$1)+E$3</f>
        <v>1.43375</v>
      </c>
      <c r="F48" s="1">
        <f>G$2*A48/(A48+G$1)+G$3</f>
        <v>2.74561688311688</v>
      </c>
      <c r="O48" s="1">
        <f t="shared" si="2"/>
        <v>1</v>
      </c>
    </row>
    <row r="49" s="1" customFormat="1" spans="1:15">
      <c r="A49" s="1">
        <v>380</v>
      </c>
      <c r="B49" s="1">
        <f t="shared" si="0"/>
        <v>0.58958958958959</v>
      </c>
      <c r="D49" s="1">
        <f>E$2*A49/(A49+E$1)+E$3</f>
        <v>1.43658536585366</v>
      </c>
      <c r="F49" s="1">
        <f>G$2*A49/(A49+G$1)+G$3</f>
        <v>2.74857594936709</v>
      </c>
      <c r="O49" s="1">
        <f t="shared" si="2"/>
        <v>1</v>
      </c>
    </row>
    <row r="50" s="1" customFormat="1" spans="1:15">
      <c r="A50" s="1">
        <v>390</v>
      </c>
      <c r="B50" s="1">
        <f t="shared" si="0"/>
        <v>0.5900439238653</v>
      </c>
      <c r="D50" s="1">
        <f>E$2*A50/(A50+E$1)+E$3</f>
        <v>1.43928571428571</v>
      </c>
      <c r="F50" s="1">
        <f>G$2*A50/(A50+G$1)+G$3</f>
        <v>2.75138888888889</v>
      </c>
      <c r="O50" s="1">
        <f t="shared" si="2"/>
        <v>1</v>
      </c>
    </row>
    <row r="51" s="1" customFormat="1" spans="1:15">
      <c r="A51" s="1">
        <v>400</v>
      </c>
      <c r="B51" s="1">
        <f t="shared" si="0"/>
        <v>0.59047619047619</v>
      </c>
      <c r="D51" s="1">
        <f>E$2*A51/(A51+E$1)+E$3</f>
        <v>1.44186046511628</v>
      </c>
      <c r="F51" s="1">
        <f>G$2*A51/(A51+G$1)+G$3</f>
        <v>2.75406626506024</v>
      </c>
      <c r="O51" s="1">
        <f t="shared" si="2"/>
        <v>1</v>
      </c>
    </row>
    <row r="52" s="1" customFormat="1" spans="1:15">
      <c r="A52" s="1">
        <v>410</v>
      </c>
      <c r="B52" s="1">
        <f t="shared" si="0"/>
        <v>0.590887959088796</v>
      </c>
      <c r="D52" s="1">
        <f>E$2*A52/(A52+E$1)+E$3</f>
        <v>1.44431818181818</v>
      </c>
      <c r="F52" s="1">
        <f>G$2*A52/(A52+G$1)+G$3</f>
        <v>2.75661764705882</v>
      </c>
      <c r="O52" s="1">
        <f t="shared" si="2"/>
        <v>1</v>
      </c>
    </row>
    <row r="53" s="1" customFormat="1" spans="1:15">
      <c r="A53" s="1">
        <v>420</v>
      </c>
      <c r="B53" s="1">
        <f t="shared" si="0"/>
        <v>0.591280653950954</v>
      </c>
      <c r="D53" s="1">
        <f>E$2*A53/(A53+E$1)+E$3</f>
        <v>1.44666666666667</v>
      </c>
      <c r="F53" s="1">
        <f>G$2*A53/(A53+G$1)+G$3</f>
        <v>2.75905172413793</v>
      </c>
      <c r="O53" s="1">
        <f t="shared" si="2"/>
        <v>1</v>
      </c>
    </row>
    <row r="54" s="1" customFormat="1" spans="1:15">
      <c r="A54" s="1">
        <v>430</v>
      </c>
      <c r="B54" s="1">
        <f t="shared" si="0"/>
        <v>0.591655570350644</v>
      </c>
      <c r="D54" s="1">
        <f>E$2*A54/(A54+E$1)+E$3</f>
        <v>1.44891304347826</v>
      </c>
      <c r="F54" s="1">
        <f>G$2*A54/(A54+G$1)+G$3</f>
        <v>2.76137640449438</v>
      </c>
      <c r="O54" s="1">
        <f t="shared" si="2"/>
        <v>1</v>
      </c>
    </row>
    <row r="55" s="1" customFormat="1" spans="1:15">
      <c r="A55" s="1">
        <v>440</v>
      </c>
      <c r="B55" s="1">
        <f t="shared" si="0"/>
        <v>0.592013888888889</v>
      </c>
      <c r="D55" s="1">
        <f>E$2*A55/(A55+E$1)+E$3</f>
        <v>1.45106382978723</v>
      </c>
      <c r="F55" s="1">
        <f>G$2*A55/(A55+G$1)+G$3</f>
        <v>2.7635989010989</v>
      </c>
      <c r="O55" s="1">
        <f t="shared" si="2"/>
        <v>1</v>
      </c>
    </row>
    <row r="56" s="1" customFormat="1" spans="1:15">
      <c r="A56" s="1">
        <v>450</v>
      </c>
      <c r="B56" s="1">
        <f t="shared" si="0"/>
        <v>0.592356687898089</v>
      </c>
      <c r="D56" s="1">
        <f>E$2*A56/(A56+E$1)+E$3</f>
        <v>1.453125</v>
      </c>
      <c r="F56" s="1">
        <f>G$2*A56/(A56+G$1)+G$3</f>
        <v>2.76572580645161</v>
      </c>
      <c r="O56" s="1">
        <f t="shared" si="2"/>
        <v>1</v>
      </c>
    </row>
    <row r="57" s="1" customFormat="1" spans="1:15">
      <c r="A57" s="1">
        <v>460</v>
      </c>
      <c r="B57" s="1">
        <f t="shared" si="0"/>
        <v>0.592684954280964</v>
      </c>
      <c r="D57" s="1">
        <f>E$2*A57/(A57+E$1)+E$3</f>
        <v>1.45510204081633</v>
      </c>
      <c r="F57" s="1">
        <f>G$2*A57/(A57+G$1)+G$3</f>
        <v>2.76776315789474</v>
      </c>
      <c r="O57" s="1">
        <f t="shared" si="2"/>
        <v>1</v>
      </c>
    </row>
    <row r="58" s="1" customFormat="1" spans="1:15">
      <c r="A58" s="1">
        <v>470</v>
      </c>
      <c r="B58" s="1">
        <f t="shared" si="0"/>
        <v>0.592999592999593</v>
      </c>
      <c r="D58" s="1">
        <f>E$2*A58/(A58+E$1)+E$3</f>
        <v>1.457</v>
      </c>
      <c r="F58" s="1">
        <f>G$2*A58/(A58+G$1)+G$3</f>
        <v>2.76971649484536</v>
      </c>
      <c r="O58" s="1">
        <f t="shared" si="2"/>
        <v>1</v>
      </c>
    </row>
    <row r="59" s="1" customFormat="1" spans="1:15">
      <c r="A59" s="1">
        <v>480</v>
      </c>
      <c r="B59" s="1">
        <f t="shared" si="0"/>
        <v>0.593301435406699</v>
      </c>
      <c r="D59" s="1">
        <f>E$2*A59/(A59+E$1)+E$3</f>
        <v>1.45882352941176</v>
      </c>
      <c r="F59" s="1">
        <f>G$2*A59/(A59+G$1)+G$3</f>
        <v>2.77159090909091</v>
      </c>
      <c r="O59" s="1">
        <f t="shared" si="2"/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53" sqref="D53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</cp:lastModifiedBy>
  <dcterms:created xsi:type="dcterms:W3CDTF">2006-09-16T00:00:00Z</dcterms:created>
  <dcterms:modified xsi:type="dcterms:W3CDTF">2025-04-21T17:09:14Z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321A00FABE56430686E0DC3F987691A4</vt:lpwstr>
  </property>
</Properties>
</file>